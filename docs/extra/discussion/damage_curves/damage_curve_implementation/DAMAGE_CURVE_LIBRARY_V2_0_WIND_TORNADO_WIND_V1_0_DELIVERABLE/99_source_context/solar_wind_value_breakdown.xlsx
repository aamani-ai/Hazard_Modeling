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cd6e70bea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a0b37712b334b2b"/>
    <x:sheet xmlns:r="http://schemas.openxmlformats.org/officeDocument/2006/relationships" name="Inputs" sheetId="2" r:id="Rd4eb4cf638324be1"/>
    <x:sheet xmlns:r="http://schemas.openxmlformats.org/officeDocument/2006/relationships" name="Summary" sheetId="3" r:id="R3d23ccb4eb7a4314"/>
    <x:sheet xmlns:r="http://schemas.openxmlformats.org/officeDocument/2006/relationships" name="Solar_Map" sheetId="4" r:id="Re18cd49dea4d45cc"/>
    <x:sheet xmlns:r="http://schemas.openxmlformats.org/officeDocument/2006/relationships" name="Solar_Raw_NREL" sheetId="5" r:id="Re9600fb745594cdd"/>
    <x:sheet xmlns:r="http://schemas.openxmlformats.org/officeDocument/2006/relationships" name="Wind_Map" sheetId="6" r:id="R516b119fe1a347cb"/>
    <x:sheet xmlns:r="http://schemas.openxmlformats.org/officeDocument/2006/relationships" name="Wind_Raw_NREL" sheetId="7" r:id="R1b97734b2b0740d1"/>
    <x:sheet xmlns:r="http://schemas.openxmlformats.org/officeDocument/2006/relationships" name="Sources" sheetId="8" r:id="Re7c9d728b79a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;[Red]($#,##0.0);-"/>
    <x:numFmt numFmtId="201" formatCode="0.0"/>
    <x:numFmt numFmtId="202" formatCode="0.0%;[Red](0.0%);-"/>
    <x:numFmt numFmtId="203" formatCode="$#,##0;[Red]($#,##0);-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5" borderId="1" xfId="0" applyNumberFormat="1" applyFont="1" applyFill="1" applyBorder="1"/>
    <x:xf numFmtId="200" fontId="4" fillId="5" borderId="1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f3afc995045eb" /><Relationship Type="http://schemas.openxmlformats.org/officeDocument/2006/relationships/theme" Target="/xl/theme/theme1.xml" Id="R45d62af5524444ea" /><Relationship Type="http://schemas.openxmlformats.org/officeDocument/2006/relationships/sharedStrings" Target="/xl/sharedStrings.xml" Id="Rcdf918e9bc164347" /><Relationship Type="http://schemas.openxmlformats.org/officeDocument/2006/relationships/worksheet" Target="/xl/worksheets/sheet1.xml" Id="R4a0b37712b334b2b" /><Relationship Type="http://schemas.openxmlformats.org/officeDocument/2006/relationships/worksheet" Target="/xl/worksheets/sheet2.xml" Id="Rd4eb4cf638324be1" /><Relationship Type="http://schemas.openxmlformats.org/officeDocument/2006/relationships/worksheet" Target="/xl/worksheets/sheet3.xml" Id="R3d23ccb4eb7a4314" /><Relationship Type="http://schemas.openxmlformats.org/officeDocument/2006/relationships/worksheet" Target="/xl/worksheets/sheet4.xml" Id="Re18cd49dea4d45cc" /><Relationship Type="http://schemas.openxmlformats.org/officeDocument/2006/relationships/worksheet" Target="/xl/worksheets/sheet5.xml" Id="Re9600fb745594cdd" /><Relationship Type="http://schemas.openxmlformats.org/officeDocument/2006/relationships/worksheet" Target="/xl/worksheets/sheet6.xml" Id="R516b119fe1a347cb" /><Relationship Type="http://schemas.openxmlformats.org/officeDocument/2006/relationships/worksheet" Target="/xl/worksheets/sheet7.xml" Id="R1b97734b2b0740d1" /><Relationship Type="http://schemas.openxmlformats.org/officeDocument/2006/relationships/worksheet" Target="/xl/worksheets/sheet8.xml" Id="Re7c9d728b79a46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9e365891b242a1" /><Relationship Type="http://schemas.openxmlformats.org/officeDocument/2006/relationships/chart" Target="/xl/drawings/charts/chart2.xml" Id="R94f912cc90a845d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Physical $/kWdc</c:v>
          </c:tx>
          <c:cat>
            <c:strRef>
              <c:f>'Summary'!$A$14:$A$24</c:f>
              <c:strCache>
                <c:ptCount val="0"/>
              </c:strCache>
            </c:strRef>
          </c:cat>
          <c:val>
            <c:numRef>
              <c:f>'Summary'!$C$14:$C$24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Physical $/kW</c:v>
          </c:tx>
          <c:cat>
            <c:strRef>
              <c:f>'Summary'!$A$29:$A$39</c:f>
              <c:strCache>
                <c:ptCount val="0"/>
              </c:strCache>
            </c:strRef>
          </c:cat>
          <c:val>
            <c:numRef>
              <c:f>'Summary'!$C$29:$C$39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9e365891b242a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f912cc90a845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putsTable" displayName="InputsTable" ref="A3:D11" headerRowCount="1">
  <x:tableColumns count="4">
    <x:tableColumn id="1" name="Input"/>
    <x:tableColumn id="2" name="Value"/>
    <x:tableColumn id="3" name="Units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6" name="SolarSummaryTable" displayName="SolarSummaryTable" ref="A13:G24" headerRowCount="1">
  <x:tableColumns count="7">
    <x:tableColumn id="1" name="subsystem"/>
    <x:tableColumn id="2" name="installed $/kWdc"/>
    <x:tableColumn id="3" name="physical $/kWdc"/>
    <x:tableColumn id="4" name="installed share"/>
    <x:tableColumn id="5" name="physical share"/>
    <x:tableColumn id="6" name="default installed $mm"/>
    <x:tableColumn id="7" name="default physical $mm"/>
  </x:tableColumns>
  <x:tableStyleInfo name="TableStyleMedium2" showRowStripes="1"/>
</x:table>
</file>

<file path=xl/tables/table3.xml><?xml version="1.0" encoding="utf-8"?>
<x:table xmlns:x="http://schemas.openxmlformats.org/spreadsheetml/2006/main" id="7" name="WindSummaryTable" displayName="WindSummaryTable" ref="A28:G39" headerRowCount="1">
  <x:tableColumns count="7">
    <x:tableColumn id="1" name="subsystem"/>
    <x:tableColumn id="2" name="installed $/kWdc"/>
    <x:tableColumn id="3" name="physical $/kWdc"/>
    <x:tableColumn id="4" name="installed share"/>
    <x:tableColumn id="5" name="physical share"/>
    <x:tableColumn id="6" name="default installed $mm"/>
    <x:tableColumn id="7" name="default physical $mm"/>
  </x:tableColumns>
  <x:tableStyleInfo name="TableStyleMedium2" showRowStripes="1"/>
</x:table>
</file>

<file path=xl/tables/table4.xml><?xml version="1.0" encoding="utf-8"?>
<x:table xmlns:x="http://schemas.openxmlformats.org/spreadsheetml/2006/main" id="2" name="SolarMapTable" displayName="SolarMapTable" ref="A1:Q17" headerRowCount="1">
  <x:tableColumns count="17">
    <x:tableColumn id="1" name="tech"/>
    <x:tableColumn id="2" name="asset_scope"/>
    <x:tableColumn id="3" name="subsystem"/>
    <x:tableColumn id="4" name="component"/>
    <x:tableColumn id="5" name="source_cost_item"/>
    <x:tableColumn id="6" name="cost_bucket"/>
    <x:tableColumn id="7" name="basis_scope"/>
    <x:tableColumn id="8" name="include_in_physical_base"/>
    <x:tableColumn id="9" name="trust_tier"/>
    <x:tableColumn id="10" name="installed_usd_per_kw"/>
    <x:tableColumn id="11" name="physical_usd_per_kw"/>
    <x:tableColumn id="12" name="installed_share"/>
    <x:tableColumn id="13" name="physical_share"/>
    <x:tableColumn id="14" name="default_installed_value_usd"/>
    <x:tableColumn id="15" name="default_physical_value_usd"/>
    <x:tableColumn id="16" name="source_url"/>
    <x:tableColumn id="17" name="notes"/>
  </x:tableColumns>
  <x:tableStyleInfo name="TableStyleMedium2" showRowStripes="1"/>
</x:table>
</file>

<file path=xl/tables/table5.xml><?xml version="1.0" encoding="utf-8"?>
<x:table xmlns:x="http://schemas.openxmlformats.org/spreadsheetml/2006/main" id="4" name="SolarRawNRELTable" displayName="SolarRawNRELTable" ref="A1:G65" headerRowCount="1">
  <x:tableColumns count="7">
    <x:tableColumn id="1" name="source_category"/>
    <x:tableColumn id="2" name="raw_element"/>
    <x:tableColumn id="3" name="mapped_subsystem"/>
    <x:tableColumn id="4" name="mapped_component"/>
    <x:tableColumn id="5" name="mmp_usd_per_kwdc"/>
    <x:tableColumn id="6" name="source_url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3" name="WindMapTable" displayName="WindMapTable" ref="A1:Q19" headerRowCount="1">
  <x:tableColumns count="17">
    <x:tableColumn id="1" name="tech"/>
    <x:tableColumn id="2" name="asset_scope"/>
    <x:tableColumn id="3" name="subsystem"/>
    <x:tableColumn id="4" name="component"/>
    <x:tableColumn id="5" name="source_cost_item"/>
    <x:tableColumn id="6" name="cost_bucket"/>
    <x:tableColumn id="7" name="basis_scope"/>
    <x:tableColumn id="8" name="include_in_physical_base"/>
    <x:tableColumn id="9" name="trust_tier"/>
    <x:tableColumn id="10" name="installed_usd_per_kw"/>
    <x:tableColumn id="11" name="physical_usd_per_kw"/>
    <x:tableColumn id="12" name="installed_share"/>
    <x:tableColumn id="13" name="physical_share"/>
    <x:tableColumn id="14" name="default_installed_value_usd"/>
    <x:tableColumn id="15" name="default_physical_value_usd"/>
    <x:tableColumn id="16" name="source_url"/>
    <x:tableColumn id="17" name="notes"/>
  </x:tableColumns>
  <x:tableStyleInfo name="TableStyleMedium2" showRowStripes="1"/>
</x:table>
</file>

<file path=xl/tables/table7.xml><?xml version="1.0" encoding="utf-8"?>
<x:table xmlns:x="http://schemas.openxmlformats.org/spreadsheetml/2006/main" id="5" name="WindRawNRELTable" displayName="WindRawNRELTable" ref="A1:G27" headerRowCount="1">
  <x:tableColumns count="7">
    <x:tableColumn id="1" name="source_section"/>
    <x:tableColumn id="2" name="raw_element"/>
    <x:tableColumn id="3" name="value_usd_per_kw"/>
    <x:tableColumn id="4" name="mapped_subsystem"/>
    <x:tableColumn id="5" name="mapped_component_or_group"/>
    <x:tableColumn id="6" name="source_url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SourcesTable" displayName="SourcesTable" ref="A1:E8" headerRowCount="1">
  <x:tableColumns count="5">
    <x:tableColumn id="1" name="source_id"/>
    <x:tableColumn id="2" name="source_type"/>
    <x:tableColumn id="3" name="url_or_reference"/>
    <x:tableColumn id="4" name="used_for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c3c15b695e47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4fe0ca477ad4b55" /><Relationship Type="http://schemas.openxmlformats.org/officeDocument/2006/relationships/table" Target="/xl/tables/table2.xml" Id="R0a57134856b440cd" /><Relationship Type="http://schemas.openxmlformats.org/officeDocument/2006/relationships/table" Target="/xl/tables/table3.xml" Id="Re4851bfdedd243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89a2c84fcb45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2cda143a1e046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e6b35cde8a542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09fbddc873d42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ab83fb195d6496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5" t="str">
        <x:v>Solar &amp; Wind Dollar Value Breakdown — Subsystem/Component Deliverable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Purpose</x:v>
      </x:c>
      <x:c r="B3" s="18" t="str">
        <x:v>Create a sourced, workbook-ready value ledger for utility-scale solar PV and land-based wind assets, mapping installed cost and physical-replaceable value into the engineering substrate subsystem/component vocabulary.</x:v>
      </x:c>
    </x:row>
    <x:row r="4">
      <x:c r="A4" s="13" t="str">
        <x:v>Primary bases</x:v>
      </x:c>
      <x:c r="B4" s="18" t="str">
        <x:v>Solar: NREL/NLR Q1-2025 UPV PV-only MMP, 2024 USD, default 100 MWdc. Wind: NREL Cost of Wind Energy Review 2024 land-based reference plant, 2023 USD, default 200 MW.</x:v>
      </x:c>
    </x:row>
    <x:row r="5">
      <x:c r="A5" s="13" t="str">
        <x:v>Two denominators</x:v>
      </x:c>
      <x:c r="B5" s="18" t="str">
        <x:v>Installed capex is retained for reconciliation. Physical-replaceable base excludes sunk/soft/nonphysical rows and network upgrades by default. Replacement fieldwork/logistics are kept as explicit cost-basis rows because they recur in major replacement but are not hardware.</x:v>
      </x:c>
    </x:row>
    <x:row r="6">
      <x:c r="A6" s="13" t="str">
        <x:v>Component depth</x:v>
      </x:c>
      <x:c r="B6" s="18" t="str">
        <x:v>Wind has public component-level rows for blades, hub, pitch, drivetrain, nacelle electrical, yaw, tower. Solar has PVSCM cost elements for module/inverter/SBOS/EBOS; some substrate components remain rollups where public data does not split further.</x:v>
      </x:c>
    </x:row>
    <x:row r="7">
      <x:c r="A7" s="13" t="str">
        <x:v>Override path</x:v>
      </x:c>
      <x:c r="B7" s="18" t="str">
        <x:v>Rows tagged medium/placeholder or rollup should be overridden by plant-specific EPC/insurance schedules, as-built BoM, or asset boundary decisions.</x:v>
      </x:c>
    </x:row>
    <x:row r="8">
      <x:c r="A8" s="13" t="str">
        <x:v>Key caveat</x:v>
      </x:c>
      <x:c r="B8" s="18" t="str">
        <x:v>Shares are cost/value allocation proxies, not damage ratios or at-risk fractions. Hazard-specific at-risk fractions (e.g., hail glass/cell exposure, flood elevation geometry) should be applied outside this value ledger.</x:v>
      </x:c>
    </x:row>
    <x:row r="10">
      <x:c r="A10" s="23" t="str">
        <x:v>Workbook Navigation</x:v>
      </x:c>
      <x:c r="B10" s="23"/>
      <x:c r="C10" s="23"/>
      <x:c r="D10" s="23"/>
      <x:c r="E10" s="23"/>
      <x:c r="F10" s="23"/>
      <x:c r="G10" s="23"/>
      <x:c r="H10" s="23"/>
    </x:row>
    <x:row r="11">
      <x:c r="A11" s="13" t="str">
        <x:v>Inputs</x:v>
      </x:c>
      <x:c r="B11" s="18" t="str">
        <x:v>Editable default asset sizes and basis totals.</x:v>
      </x:c>
    </x:row>
    <x:row r="12">
      <x:c r="A12" s="13" t="str">
        <x:v>Summary</x:v>
      </x:c>
      <x:c r="B12" s="18" t="str">
        <x:v>KPI blocks and subsystem rollups in $/kW and asset-dollar terms.</x:v>
      </x:c>
    </x:row>
    <x:row r="13">
      <x:c r="A13" s="13" t="str">
        <x:v>Solar_Map</x:v>
      </x:c>
      <x:c r="B13" s="18" t="str">
        <x:v>Solar value ledger mapped to substrate subsystem/component rows.</x:v>
      </x:c>
    </x:row>
    <x:row r="14">
      <x:c r="A14" s="13" t="str">
        <x:v>Solar_Raw_NREL</x:v>
      </x:c>
      <x:c r="B14" s="18" t="str">
        <x:v>Solar source line items from PVSCM UPV 2025Q1.</x:v>
      </x:c>
    </x:row>
    <x:row r="15">
      <x:c r="A15" s="13" t="str">
        <x:v>Wind_Map</x:v>
      </x:c>
      <x:c r="B15" s="18" t="str">
        <x:v>Wind value ledger mapped to substrate subsystem/component rows.</x:v>
      </x:c>
    </x:row>
    <x:row r="16">
      <x:c r="A16" s="13" t="str">
        <x:v>Wind_Raw_NREL</x:v>
      </x:c>
      <x:c r="B16" s="18" t="str">
        <x:v>Wind source line items from NREL CWER 2024.</x:v>
      </x:c>
    </x:row>
    <x:row r="17">
      <x:c r="A17" s="13" t="str">
        <x:v>Sources</x:v>
      </x:c>
      <x:c r="B17" s="18" t="str">
        <x:v>Plain-text URLs and source notes for row-level traceability.</x:v>
      </x:c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.25" hidden="0" customWidth="1"/>
    <x:col min="2" max="2" width="4.75" hidden="0" customWidth="1"/>
    <x:col min="3" max="3" width="6.380000114440918" hidden="0" customWidth="1"/>
    <x:col min="4" max="4" width="75" hidden="0" customWidth="1"/>
  </x:cols>
  <x:sheetData>
    <x:row r="1">
      <x:c r="A1" s="5" t="str">
        <x:v>Inputs and Reconciliation Checks</x:v>
      </x:c>
      <x:c r="B1" s="5"/>
      <x:c r="C1" s="5"/>
      <x:c r="D1" s="38"/>
    </x:row>
    <x:row r="3">
      <x:c r="A3" s="13" t="str">
        <x:v>Input</x:v>
      </x:c>
      <x:c r="B3" s="13" t="str">
        <x:v>Value</x:v>
      </x:c>
      <x:c r="C3" s="13" t="str">
        <x:v>Units</x:v>
      </x:c>
      <x:c r="D3" s="13" t="str">
        <x:v>Notes</x:v>
      </x:c>
    </x:row>
    <x:row r="4">
      <x:c r="A4" t="str">
        <x:v>Solar asset DC capacity</x:v>
      </x:c>
      <x:c r="B4" s="36" t="n">
        <x:v>100</x:v>
      </x:c>
      <x:c r="C4" t="str">
        <x:v>MWdc</x:v>
      </x:c>
      <x:c r="D4" t="str">
        <x:v>Editable default; formulas in Solar_Map and Summary reference this cell.</x:v>
      </x:c>
    </x:row>
    <x:row r="5">
      <x:c r="A5" t="str">
        <x:v>Wind asset nameplate capacity</x:v>
      </x:c>
      <x:c r="B5" s="36" t="n">
        <x:v>200</x:v>
      </x:c>
      <x:c r="C5" t="str">
        <x:v>MW</x:v>
      </x:c>
      <x:c r="D5" t="str">
        <x:v>Editable default; formulas in Wind_Map and Summary reference this cell.</x:v>
      </x:c>
    </x:row>
    <x:row r="6">
      <x:c r="A6" t="str">
        <x:v>Solar installed capex basis</x:v>
      </x:c>
      <x:c r="B6" s="34" t="n">
        <x:f>SUM(Solar_Map!$J$2:$J$17)</x:f>
        <x:v>1119.9999999999998</x:v>
      </x:c>
      <x:c r="C6" t="str">
        <x:v>$/kWdc</x:v>
      </x:c>
      <x:c r="D6" t="str">
        <x:v>Formula: sum of Solar_Map installed rows; reconciles to published PV-only MMP $1.12/Wdc.</x:v>
      </x:c>
    </x:row>
    <x:row r="7">
      <x:c r="A7" t="str">
        <x:v>Solar physical replaceable basis</x:v>
      </x:c>
      <x:c r="B7" s="34" t="n">
        <x:f>SUM(Solar_Map!$K$2:$K$17)</x:f>
        <x:v>877.7957023626668</x:v>
      </x:c>
      <x:c r="C7" t="str">
        <x:v>$/kWdc</x:v>
      </x:c>
      <x:c r="D7" t="str">
        <x:v>Formula: sum of Solar_Map physical rows; excludes officework, other soft/sunk, and network upgrade.</x:v>
      </x:c>
    </x:row>
    <x:row r="8">
      <x:c r="A8" t="str">
        <x:v>Solar nonphysical/sunk excluded</x:v>
      </x:c>
      <x:c r="B8" s="34" t="n">
        <x:f>B6-B7</x:f>
        <x:v>242.20429763733296</x:v>
      </x:c>
      <x:c r="C8" t="str">
        <x:v>$/kWdc</x:v>
      </x:c>
      <x:c r="D8" t="str">
        <x:v>Formula: installed less physical.</x:v>
      </x:c>
    </x:row>
    <x:row r="9">
      <x:c r="A9" t="str">
        <x:v>Wind installed capex basis</x:v>
      </x:c>
      <x:c r="B9" s="34" t="n">
        <x:f>SUM(Wind_Map!$J$2:$J$19)</x:f>
        <x:v>1968</x:v>
      </x:c>
      <x:c r="C9" t="str">
        <x:v>$/kW</x:v>
      </x:c>
      <x:c r="D9" t="str">
        <x:v>Formula: sum of Wind_Map installed rows; reconciles to NREL CWER total CapEx.</x:v>
      </x:c>
    </x:row>
    <x:row r="10">
      <x:c r="A10" t="str">
        <x:v>Wind physical replaceable basis</x:v>
      </x:c>
      <x:c r="B10" s="34" t="n">
        <x:f>SUM(Wind_Map!$K$2:$K$19)</x:f>
        <x:v>1623</x:v>
      </x:c>
      <x:c r="C10" t="str">
        <x:v>$/kW</x:v>
      </x:c>
      <x:c r="D10" t="str">
        <x:v>Formula: sum of Wind_Map physical rows; excludes development, project management, finance, contingency, warranty.</x:v>
      </x:c>
    </x:row>
    <x:row r="11">
      <x:c r="A11" t="str">
        <x:v>Wind nonphysical/sunk excluded</x:v>
      </x:c>
      <x:c r="B11" s="34" t="n">
        <x:f>B9-B10</x:f>
        <x:v>345</x:v>
      </x:c>
      <x:c r="C11" t="str">
        <x:v>$/kW</x:v>
      </x:c>
      <x:c r="D11" t="str">
        <x:v>Formula: installed less physical.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ec3c15b695e47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.880000114440918" hidden="0" customWidth="1"/>
    <x:col min="3" max="3" width="15.5" hidden="0" customWidth="1"/>
    <x:col min="4" max="4" width="22.75" hidden="0" customWidth="1"/>
    <x:col min="5" max="5" width="13.75" hidden="0" customWidth="1"/>
    <x:col min="6" max="6" width="19.6299991607666" hidden="0" customWidth="1"/>
    <x:col min="7" max="7" width="19.25" hidden="0" customWidth="1"/>
  </x:cols>
  <x:sheetData>
    <x:row r="1">
      <x:c r="A1" s="5" t="str">
        <x:v>Summary Dashboard</x:v>
      </x:c>
      <x:c r="B1" s="5"/>
      <x:c r="C1" s="5"/>
      <x:c r="D1" s="5"/>
      <x:c r="E1" s="5"/>
      <x:c r="F1" s="5"/>
      <x:c r="G1" s="5"/>
      <x:c r="H1" s="5"/>
    </x:row>
    <x:row r="3">
      <x:c r="A3" s="58" t="str">
        <x:v>Metric</x:v>
      </x:c>
      <x:c r="B3" s="58" t="str">
        <x:v>Solar PV</x:v>
      </x:c>
      <x:c r="C3" s="58" t="str">
        <x:v>Wind</x:v>
      </x:c>
      <x:c r="D3" s="58" t="str">
        <x:v>Units / basis</x:v>
      </x:c>
    </x:row>
    <x:row r="4">
      <x:c r="A4" s="18" t="str">
        <x:v>Default asset size</x:v>
      </x:c>
      <x:c r="B4" s="59" t="n">
        <x:f>Inputs!$B$4</x:f>
        <x:v>100</x:v>
      </x:c>
      <x:c r="C4" s="59" t="n">
        <x:f>Inputs!$B$5</x:f>
        <x:v>200</x:v>
      </x:c>
      <x:c r="D4" s="18" t="str">
        <x:v>MWdc for solar; MW for wind</x:v>
      </x:c>
    </x:row>
    <x:row r="5">
      <x:c r="A5" s="18" t="str">
        <x:v>Installed capex basis</x:v>
      </x:c>
      <x:c r="B5" s="60" t="n">
        <x:f>Inputs!$B$6</x:f>
        <x:v>1119.9999999999998</x:v>
      </x:c>
      <x:c r="C5" s="60" t="n">
        <x:f>Inputs!$B$9</x:f>
        <x:v>1968</x:v>
      </x:c>
      <x:c r="D5" s="18" t="str">
        <x:v>$/kW</x:v>
      </x:c>
    </x:row>
    <x:row r="6">
      <x:c r="A6" s="18" t="str">
        <x:v>Physical replaceable basis</x:v>
      </x:c>
      <x:c r="B6" s="60" t="n">
        <x:f>Inputs!$B$7</x:f>
        <x:v>877.7957023626668</x:v>
      </x:c>
      <x:c r="C6" s="60" t="n">
        <x:f>Inputs!$B$10</x:f>
        <x:v>1623</x:v>
      </x:c>
      <x:c r="D6" s="18" t="str">
        <x:v>$/kW</x:v>
      </x:c>
    </x:row>
    <x:row r="7">
      <x:c r="A7" s="18" t="str">
        <x:v>Excluded sunk/soft/nonphysical</x:v>
      </x:c>
      <x:c r="B7" s="60" t="n">
        <x:f>Inputs!$B$8</x:f>
        <x:v>242.20429763733296</x:v>
      </x:c>
      <x:c r="C7" s="60" t="n">
        <x:f>Inputs!$B$11</x:f>
        <x:v>345</x:v>
      </x:c>
      <x:c r="D7" s="18" t="str">
        <x:v>$/kW</x:v>
      </x:c>
    </x:row>
    <x:row r="8">
      <x:c r="A8" s="18" t="str">
        <x:v>Default installed value</x:v>
      </x:c>
      <x:c r="B8" s="60" t="n">
        <x:f>Inputs!$B$4*Inputs!$B$6/1000</x:f>
        <x:v>111.99999999999997</x:v>
      </x:c>
      <x:c r="C8" s="60" t="n">
        <x:f>Inputs!$B$5*Inputs!$B$9/1000</x:f>
        <x:v>393.6</x:v>
      </x:c>
      <x:c r="D8" s="18" t="str">
        <x:v>$mm</x:v>
      </x:c>
    </x:row>
    <x:row r="9">
      <x:c r="A9" s="18" t="str">
        <x:v>Default physical replaceable value</x:v>
      </x:c>
      <x:c r="B9" s="60" t="n">
        <x:f>Inputs!$B$4*Inputs!$B$7/1000</x:f>
        <x:v>87.77957023626668</x:v>
      </x:c>
      <x:c r="C9" s="60" t="n">
        <x:f>Inputs!$B$5*Inputs!$B$10/1000</x:f>
        <x:v>324.6</x:v>
      </x:c>
      <x:c r="D9" s="18" t="str">
        <x:v>$mm</x:v>
      </x:c>
    </x:row>
    <x:row r="12">
      <x:c r="A12" s="23" t="str">
        <x:v>Solar PV subsystem rollup (MMP, PV-only, 2024 USD)</x:v>
      </x:c>
      <x:c r="B12" s="23"/>
      <x:c r="C12" s="23"/>
      <x:c r="D12" s="23"/>
      <x:c r="E12" s="23"/>
      <x:c r="F12" s="23"/>
      <x:c r="G12" s="23"/>
    </x:row>
    <x:row r="13">
      <x:c r="A13" s="13" t="str">
        <x:v>subsystem</x:v>
      </x:c>
      <x:c r="B13" s="13" t="str">
        <x:v>installed $/kWdc</x:v>
      </x:c>
      <x:c r="C13" s="13" t="str">
        <x:v>physical $/kWdc</x:v>
      </x:c>
      <x:c r="D13" s="13" t="str">
        <x:v>installed share</x:v>
      </x:c>
      <x:c r="E13" s="13" t="str">
        <x:v>physical share</x:v>
      </x:c>
      <x:c r="F13" s="13" t="str">
        <x:v>default installed $mm</x:v>
      </x:c>
      <x:c r="G13" s="13" t="str">
        <x:v>default physical $mm</x:v>
      </x:c>
    </x:row>
    <x:row r="14">
      <x:c r="A14" t="str">
        <x:v>PV_ARRAY</x:v>
      </x:c>
      <x:c r="B14" s="40" t="n">
        <x:f>SUMIF(Solar_Map!$C:$C,A14,Solar_Map!$J:$J)</x:f>
        <x:v>291.21485143992487</x:v>
      </x:c>
      <x:c r="C14" s="40" t="n">
        <x:f>SUMIF(Solar_Map!$C:$C,A14,Solar_Map!$K:$K)</x:f>
        <x:v>291.21485143992487</x:v>
      </x:c>
      <x:c r="D14" s="42" t="n">
        <x:f>B14/SUM(Solar_Map!$J:$J)</x:f>
        <x:v>0.26001326021421867</x:v>
      </x:c>
      <x:c r="E14" s="42" t="n">
        <x:f>IF(C14=0,0,C14/SUM(Solar_Map!$K:$K))</x:f>
        <x:v>0.3317569801903719</x:v>
      </x:c>
      <x:c r="F14" s="40" t="n">
        <x:f>B14*Inputs!$B$4/1000</x:f>
        <x:v>29.121485143992487</x:v>
      </x:c>
      <x:c r="G14" s="40" t="n">
        <x:f>C14*Inputs!$B$4/1000</x:f>
        <x:v>29.121485143992487</x:v>
      </x:c>
    </x:row>
    <x:row r="15">
      <x:c r="A15" t="str">
        <x:v>MOUNTING</x:v>
      </x:c>
      <x:c r="B15" s="40" t="n">
        <x:f>SUMIF(Solar_Map!$C:$C,A15,Solar_Map!$J:$J)</x:f>
        <x:v>153.263698630137</x:v>
      </x:c>
      <x:c r="C15" s="40" t="n">
        <x:f>SUMIF(Solar_Map!$C:$C,A15,Solar_Map!$K:$K)</x:f>
        <x:v>153.263698630137</x:v>
      </x:c>
      <x:c r="D15" s="42" t="n">
        <x:f>B15/SUM(Solar_Map!$J:$J)</x:f>
        <x:v>0.13684258806262234</x:v>
      </x:c>
      <x:c r="E15" s="42" t="n">
        <x:f>IF(C15=0,0,C15/SUM(Solar_Map!$K:$K))</x:f>
        <x:v>0.17460064821189467</x:v>
      </x:c>
      <x:c r="F15" s="40" t="n">
        <x:f>B15*Inputs!$B$4/1000</x:f>
        <x:v>15.3263698630137</x:v>
      </x:c>
      <x:c r="G15" s="40" t="n">
        <x:f>C15*Inputs!$B$4/1000</x:f>
        <x:v>15.3263698630137</x:v>
      </x:c>
    </x:row>
    <x:row r="16">
      <x:c r="A16" t="str">
        <x:v>FOUNDATION</x:v>
      </x:c>
      <x:c r="B16" s="40" t="n">
        <x:f>SUMIF(Solar_Map!$C:$C,A16,Solar_Map!$J:$J)</x:f>
        <x:v>31.12448715327472</x:v>
      </x:c>
      <x:c r="C16" s="40" t="n">
        <x:f>SUMIF(Solar_Map!$C:$C,A16,Solar_Map!$K:$K)</x:f>
        <x:v>31.12448715327472</x:v>
      </x:c>
      <x:c r="D16" s="42" t="n">
        <x:f>B16/SUM(Solar_Map!$J:$J)</x:f>
        <x:v>0.02778972067256672</x:v>
      </x:c>
      <x:c r="E16" s="42" t="n">
        <x:f>IF(C16=0,0,C16/SUM(Solar_Map!$K:$K))</x:f>
        <x:v>0.03545755244585994</x:v>
      </x:c>
      <x:c r="F16" s="40" t="n">
        <x:f>B16*Inputs!$B$4/1000</x:f>
        <x:v>3.112448715327472</x:v>
      </x:c>
      <x:c r="G16" s="40" t="n">
        <x:f>C16*Inputs!$B$4/1000</x:f>
        <x:v>3.112448715327472</x:v>
      </x:c>
    </x:row>
    <x:row r="17">
      <x:c r="A17" t="str">
        <x:v>INVERTER_SYSTEM</x:v>
      </x:c>
      <x:c r="B17" s="40" t="n">
        <x:f>SUMIF(Solar_Map!$C:$C,A17,Solar_Map!$J:$J)</x:f>
        <x:v>39.132616410372385</x:v>
      </x:c>
      <x:c r="C17" s="40" t="n">
        <x:f>SUMIF(Solar_Map!$C:$C,A17,Solar_Map!$K:$K)</x:f>
        <x:v>39.132616410372385</x:v>
      </x:c>
      <x:c r="D17" s="42" t="n">
        <x:f>B17/SUM(Solar_Map!$J:$J)</x:f>
        <x:v>0.03493983608068964</x:v>
      </x:c>
      <x:c r="E17" s="42" t="n">
        <x:f>IF(C17=0,0,C17/SUM(Solar_Map!$K:$K))</x:f>
        <x:v>0.044580551380057336</x:v>
      </x:c>
      <x:c r="F17" s="40" t="n">
        <x:f>B17*Inputs!$B$4/1000</x:f>
        <x:v>3.9132616410372383</x:v>
      </x:c>
      <x:c r="G17" s="40" t="n">
        <x:f>C17*Inputs!$B$4/1000</x:f>
        <x:v>3.9132616410372383</x:v>
      </x:c>
    </x:row>
    <x:row r="18">
      <x:c r="A18" t="str">
        <x:v>ELECTRICAL_COLLECTION</x:v>
      </x:c>
      <x:c r="B18" s="40" t="n">
        <x:f>SUMIF(Solar_Map!$C:$C,A18,Solar_Map!$J:$J)</x:f>
        <x:v>147.02160447761193</x:v>
      </x:c>
      <x:c r="C18" s="40" t="n">
        <x:f>SUMIF(Solar_Map!$C:$C,A18,Solar_Map!$K:$K)</x:f>
        <x:v>108.76787313432834</x:v>
      </x:c>
      <x:c r="D18" s="42" t="n">
        <x:f>B18/SUM(Solar_Map!$J:$J)</x:f>
        <x:v>0.13126928971215354</x:v>
      </x:c>
      <x:c r="E18" s="42" t="n">
        <x:f>IF(C18=0,0,C18/SUM(Solar_Map!$K:$K))</x:f>
        <x:v>0.12391023656366708</x:v>
      </x:c>
      <x:c r="F18" s="40" t="n">
        <x:f>B18*Inputs!$B$4/1000</x:f>
        <x:v>14.702160447761193</x:v>
      </x:c>
      <x:c r="G18" s="40" t="n">
        <x:f>C18*Inputs!$B$4/1000</x:f>
        <x:v>10.876787313432835</x:v>
      </x:c>
    </x:row>
    <x:row r="19">
      <x:c r="A19" t="str">
        <x:v>SUBSTATION</x:v>
      </x:c>
      <x:c r="B19" s="40" t="n">
        <x:f>SUMIF(Solar_Map!$C:$C,A19,Solar_Map!$J:$J)</x:f>
        <x:v>106.50466417910448</x:v>
      </x:c>
      <x:c r="C19" s="40" t="n">
        <x:f>SUMIF(Solar_Map!$C:$C,A19,Solar_Map!$K:$K)</x:f>
        <x:v>106.50466417910448</x:v>
      </x:c>
      <x:c r="D19" s="42" t="n">
        <x:f>B19/SUM(Solar_Map!$J:$J)</x:f>
        <x:v>0.09509345015991473</x:v>
      </x:c>
      <x:c r="E19" s="42" t="n">
        <x:f>IF(C19=0,0,C19/SUM(Solar_Map!$K:$K))</x:f>
        <x:v>0.12133194989726824</x:v>
      </x:c>
      <x:c r="F19" s="40" t="n">
        <x:f>B19*Inputs!$B$4/1000</x:f>
        <x:v>10.650466417910447</x:v>
      </x:c>
      <x:c r="G19" s="40" t="n">
        <x:f>C19*Inputs!$B$4/1000</x:f>
        <x:v>10.650466417910447</x:v>
      </x:c>
    </x:row>
    <x:row r="20">
      <x:c r="A20" t="str">
        <x:v>GROUNDING_LIGHTNING</x:v>
      </x:c>
      <x:c r="B20" s="40" t="n">
        <x:f>SUMIF(Solar_Map!$C:$C,A20,Solar_Map!$J:$J)</x:f>
        <x:v>8.385</x:v>
      </x:c>
      <x:c r="C20" s="40" t="n">
        <x:f>SUMIF(Solar_Map!$C:$C,A20,Solar_Map!$K:$K)</x:f>
        <x:v>8.385</x:v>
      </x:c>
      <x:c r="D20" s="42" t="n">
        <x:f>B20/SUM(Solar_Map!$J:$J)</x:f>
        <x:v>0.007486607142857144</x:v>
      </x:c>
      <x:c r="E20" s="42" t="n">
        <x:f>IF(C20=0,0,C20/SUM(Solar_Map!$K:$K))</x:f>
        <x:v>0.009552336582909908</x:v>
      </x:c>
      <x:c r="F20" s="40" t="n">
        <x:f>B20*Inputs!$B$4/1000</x:f>
        <x:v>0.8385</x:v>
      </x:c>
      <x:c r="G20" s="40" t="n">
        <x:f>C20*Inputs!$B$4/1000</x:f>
        <x:v>0.8385</x:v>
      </x:c>
    </x:row>
    <x:row r="21">
      <x:c r="A21" t="str">
        <x:v>SCADA</x:v>
      </x:c>
      <x:c r="B21" s="40" t="n">
        <x:f>SUMIF(Solar_Map!$C:$C,A21,Solar_Map!$J:$J)</x:f>
        <x:v>1.31</x:v>
      </x:c>
      <x:c r="C21" s="40" t="n">
        <x:f>SUMIF(Solar_Map!$C:$C,A21,Solar_Map!$K:$K)</x:f>
        <x:v>1.31</x:v>
      </x:c>
      <x:c r="D21" s="42" t="n">
        <x:f>B21/SUM(Solar_Map!$J:$J)</x:f>
        <x:v>0.0011696428571428574</x:v>
      </x:c>
      <x:c r="E21" s="42" t="n">
        <x:f>IF(C21=0,0,C21/SUM(Solar_Map!$K:$K))</x:f>
        <x:v>0.0014923745883854479</x:v>
      </x:c>
      <x:c r="F21" s="40" t="n">
        <x:f>B21*Inputs!$B$4/1000</x:f>
        <x:v>0.131</x:v>
      </x:c>
      <x:c r="G21" s="40" t="n">
        <x:f>C21*Inputs!$B$4/1000</x:f>
        <x:v>0.131</x:v>
      </x:c>
    </x:row>
    <x:row r="22">
      <x:c r="A22" t="str">
        <x:v>CIVIL_INFRA</x:v>
      </x:c>
      <x:c r="B22" s="40" t="n">
        <x:f>SUMIF(Solar_Map!$C:$C,A22,Solar_Map!$J:$J)</x:f>
        <x:v>31.223744292237445</x:v>
      </x:c>
      <x:c r="C22" s="40" t="n">
        <x:f>SUMIF(Solar_Map!$C:$C,A22,Solar_Map!$K:$K)</x:f>
        <x:v>31.223744292237445</x:v>
      </x:c>
      <x:c r="D22" s="42" t="n">
        <x:f>B22/SUM(Solar_Map!$J:$J)</x:f>
        <x:v>0.02787834311806915</x:v>
      </x:c>
      <x:c r="E22" s="42" t="n">
        <x:f>IF(C22=0,0,C22/SUM(Solar_Map!$K:$K))</x:f>
        <x:v>0.035570627890061324</x:v>
      </x:c>
      <x:c r="F22" s="40" t="n">
        <x:f>B22*Inputs!$B$4/1000</x:f>
        <x:v>3.1223744292237443</x:v>
      </x:c>
      <x:c r="G22" s="40" t="n">
        <x:f>C22*Inputs!$B$4/1000</x:f>
        <x:v>3.1223744292237443</x:v>
      </x:c>
    </x:row>
    <x:row r="23">
      <x:c r="A23" t="str">
        <x:v>REPLACEMENT_FIELDWORK</x:v>
      </x:c>
      <x:c r="B23" s="40" t="n">
        <x:f>SUMIF(Solar_Map!$C:$C,A23,Solar_Map!$J:$J)</x:f>
        <x:v>106.86876712328767</x:v>
      </x:c>
      <x:c r="C23" s="40" t="n">
        <x:f>SUMIF(Solar_Map!$C:$C,A23,Solar_Map!$K:$K)</x:f>
        <x:v>106.86876712328767</x:v>
      </x:c>
      <x:c r="D23" s="42" t="n">
        <x:f>B23/SUM(Solar_Map!$J:$J)</x:f>
        <x:v>0.09541854207436401</x:v>
      </x:c>
      <x:c r="E23" s="42" t="n">
        <x:f>IF(C23=0,0,C23/SUM(Solar_Map!$K:$K))</x:f>
        <x:v>0.12174674224952421</x:v>
      </x:c>
      <x:c r="F23" s="40" t="n">
        <x:f>B23*Inputs!$B$4/1000</x:f>
        <x:v>10.686876712328766</x:v>
      </x:c>
      <x:c r="G23" s="40" t="n">
        <x:f>C23*Inputs!$B$4/1000</x:f>
        <x:v>10.686876712328766</x:v>
      </x:c>
    </x:row>
    <x:row r="24">
      <x:c r="A24" t="str">
        <x:v>SUNK_SOFT_NONPHYSICAL</x:v>
      </x:c>
      <x:c r="B24" s="40" t="n">
        <x:f>SUMIF(Solar_Map!$C:$C,A24,Solar_Map!$J:$J)</x:f>
        <x:v>203.95056629404934</x:v>
      </x:c>
      <x:c r="C24" s="40" t="n">
        <x:f>SUMIF(Solar_Map!$C:$C,A24,Solar_Map!$K:$K)</x:f>
        <x:v>0</x:v>
      </x:c>
      <x:c r="D24" s="42" t="n">
        <x:f>B24/SUM(Solar_Map!$J:$J)</x:f>
        <x:v>0.18209871990540122</x:v>
      </x:c>
      <x:c r="E24" s="42" t="n">
        <x:f>IF(C24=0,0,C24/SUM(Solar_Map!$K:$K))</x:f>
        <x:v>0</x:v>
      </x:c>
      <x:c r="F24" s="40" t="n">
        <x:f>B24*Inputs!$B$4/1000</x:f>
        <x:v>20.395056629404934</x:v>
      </x:c>
      <x:c r="G24" s="40" t="n">
        <x:f>C24*Inputs!$B$4/1000</x:f>
        <x:v>0</x:v>
      </x:c>
    </x:row>
    <x:row r="27">
      <x:c r="A27" s="23" t="str">
        <x:v>Wind subsystem rollup (CWER 2024, 2023 USD)</x:v>
      </x:c>
      <x:c r="B27" s="23"/>
      <x:c r="C27" s="23"/>
      <x:c r="D27" s="23"/>
      <x:c r="E27" s="23"/>
      <x:c r="F27" s="23"/>
      <x:c r="G27" s="23"/>
    </x:row>
    <x:row r="28">
      <x:c r="A28" s="13" t="str">
        <x:v>subsystem</x:v>
      </x:c>
      <x:c r="B28" s="13" t="str">
        <x:v>installed $/kWdc</x:v>
      </x:c>
      <x:c r="C28" s="13" t="str">
        <x:v>physical $/kWdc</x:v>
      </x:c>
      <x:c r="D28" s="13" t="str">
        <x:v>installed share</x:v>
      </x:c>
      <x:c r="E28" s="13" t="str">
        <x:v>physical share</x:v>
      </x:c>
      <x:c r="F28" s="13" t="str">
        <x:v>default installed $mm</x:v>
      </x:c>
      <x:c r="G28" s="13" t="str">
        <x:v>default physical $mm</x:v>
      </x:c>
    </x:row>
    <x:row r="29">
      <x:c r="A29" t="str">
        <x:v>ROTOR_ASSEMBLY</x:v>
      </x:c>
      <x:c r="B29" s="40" t="n">
        <x:f>SUMIF(Wind_Map!$C:$C,A29,Wind_Map!$J:$J)</x:f>
        <x:v>324</x:v>
      </x:c>
      <x:c r="C29" s="40" t="n">
        <x:f>SUMIF(Wind_Map!$C:$C,A29,Wind_Map!$K:$K)</x:f>
        <x:v>324</x:v>
      </x:c>
      <x:c r="D29" s="42" t="n">
        <x:f>B29/SUM(Wind_Map!$J:$J)</x:f>
        <x:v>0.16463414634146342</x:v>
      </x:c>
      <x:c r="E29" s="42" t="n">
        <x:f>IF(C29=0,0,C29/SUM(Wind_Map!$K:$K))</x:f>
        <x:v>0.19963031423290203</x:v>
      </x:c>
      <x:c r="F29" s="40" t="n">
        <x:f>B29*Inputs!$B$5/1000</x:f>
        <x:v>64.8</x:v>
      </x:c>
      <x:c r="G29" s="40" t="n">
        <x:f>C29*Inputs!$B$5/1000</x:f>
        <x:v>64.8</x:v>
      </x:c>
    </x:row>
    <x:row r="30">
      <x:c r="A30" t="str">
        <x:v>PITCH_SYSTEM</x:v>
      </x:c>
      <x:c r="B30" s="40" t="n">
        <x:f>SUMIF(Wind_Map!$C:$C,A30,Wind_Map!$J:$J)</x:f>
        <x:v>13</x:v>
      </x:c>
      <x:c r="C30" s="40" t="n">
        <x:f>SUMIF(Wind_Map!$C:$C,A30,Wind_Map!$K:$K)</x:f>
        <x:v>13</x:v>
      </x:c>
      <x:c r="D30" s="42" t="n">
        <x:f>B30/SUM(Wind_Map!$J:$J)</x:f>
        <x:v>0.0066056910569105695</x:v>
      </x:c>
      <x:c r="E30" s="42" t="n">
        <x:f>IF(C30=0,0,C30/SUM(Wind_Map!$K:$K))</x:f>
        <x:v>0.008009858287122612</x:v>
      </x:c>
      <x:c r="F30" s="40" t="n">
        <x:f>B30*Inputs!$B$5/1000</x:f>
        <x:v>2.6</x:v>
      </x:c>
      <x:c r="G30" s="40" t="n">
        <x:f>C30*Inputs!$B$5/1000</x:f>
        <x:v>2.6</x:v>
      </x:c>
    </x:row>
    <x:row r="31">
      <x:c r="A31" t="str">
        <x:v>NACELLE</x:v>
      </x:c>
      <x:c r="B31" s="40" t="n">
        <x:f>SUMIF(Wind_Map!$C:$C,A31,Wind_Map!$J:$J)</x:f>
        <x:v>340</x:v>
      </x:c>
      <x:c r="C31" s="40" t="n">
        <x:f>SUMIF(Wind_Map!$C:$C,A31,Wind_Map!$K:$K)</x:f>
        <x:v>340</x:v>
      </x:c>
      <x:c r="D31" s="42" t="n">
        <x:f>B31/SUM(Wind_Map!$J:$J)</x:f>
        <x:v>0.17276422764227642</x:v>
      </x:c>
      <x:c r="E31" s="42" t="n">
        <x:f>IF(C31=0,0,C31/SUM(Wind_Map!$K:$K))</x:f>
        <x:v>0.20948860135551448</x:v>
      </x:c>
      <x:c r="F31" s="40" t="n">
        <x:f>B31*Inputs!$B$5/1000</x:f>
        <x:v>68</x:v>
      </x:c>
      <x:c r="G31" s="40" t="n">
        <x:f>C31*Inputs!$B$5/1000</x:f>
        <x:v>68</x:v>
      </x:c>
    </x:row>
    <x:row r="32">
      <x:c r="A32" t="str">
        <x:v>POWER_ELECTRONICS</x:v>
      </x:c>
      <x:c r="B32" s="40" t="n">
        <x:f>SUMIF(Wind_Map!$C:$C,A32,Wind_Map!$J:$J)</x:f>
        <x:v>137</x:v>
      </x:c>
      <x:c r="C32" s="40" t="n">
        <x:f>SUMIF(Wind_Map!$C:$C,A32,Wind_Map!$K:$K)</x:f>
        <x:v>137</x:v>
      </x:c>
      <x:c r="D32" s="42" t="n">
        <x:f>B32/SUM(Wind_Map!$J:$J)</x:f>
        <x:v>0.06961382113821138</x:v>
      </x:c>
      <x:c r="E32" s="42" t="n">
        <x:f>IF(C32=0,0,C32/SUM(Wind_Map!$K:$K))</x:f>
        <x:v>0.08441158348736907</x:v>
      </x:c>
      <x:c r="F32" s="40" t="n">
        <x:f>B32*Inputs!$B$5/1000</x:f>
        <x:v>27.4</x:v>
      </x:c>
      <x:c r="G32" s="40" t="n">
        <x:f>C32*Inputs!$B$5/1000</x:f>
        <x:v>27.4</x:v>
      </x:c>
    </x:row>
    <x:row r="33">
      <x:c r="A33" t="str">
        <x:v>TOWER</x:v>
      </x:c>
      <x:c r="B33" s="40" t="n">
        <x:f>SUMIF(Wind_Map!$C:$C,A33,Wind_Map!$J:$J)</x:f>
        <x:v>276</x:v>
      </x:c>
      <x:c r="C33" s="40" t="n">
        <x:f>SUMIF(Wind_Map!$C:$C,A33,Wind_Map!$K:$K)</x:f>
        <x:v>276</x:v>
      </x:c>
      <x:c r="D33" s="42" t="n">
        <x:f>B33/SUM(Wind_Map!$J:$J)</x:f>
        <x:v>0.1402439024390244</x:v>
      </x:c>
      <x:c r="E33" s="42" t="n">
        <x:f>IF(C33=0,0,C33/SUM(Wind_Map!$K:$K))</x:f>
        <x:v>0.17005545286506468</x:v>
      </x:c>
      <x:c r="F33" s="40" t="n">
        <x:f>B33*Inputs!$B$5/1000</x:f>
        <x:v>55.2</x:v>
      </x:c>
      <x:c r="G33" s="40" t="n">
        <x:f>C33*Inputs!$B$5/1000</x:f>
        <x:v>55.2</x:v>
      </x:c>
    </x:row>
    <x:row r="34">
      <x:c r="A34" t="str">
        <x:v>FOUNDATION</x:v>
      </x:c>
      <x:c r="B34" s="40" t="n">
        <x:f>SUMIF(Wind_Map!$C:$C,A34,Wind_Map!$J:$J)</x:f>
        <x:v>120</x:v>
      </x:c>
      <x:c r="C34" s="40" t="n">
        <x:f>SUMIF(Wind_Map!$C:$C,A34,Wind_Map!$K:$K)</x:f>
        <x:v>120</x:v>
      </x:c>
      <x:c r="D34" s="42" t="n">
        <x:f>B34/SUM(Wind_Map!$J:$J)</x:f>
        <x:v>0.06097560975609756</x:v>
      </x:c>
      <x:c r="E34" s="42" t="n">
        <x:f>IF(C34=0,0,C34/SUM(Wind_Map!$K:$K))</x:f>
        <x:v>0.07393715341959335</x:v>
      </x:c>
      <x:c r="F34" s="40" t="n">
        <x:f>B34*Inputs!$B$5/1000</x:f>
        <x:v>24</x:v>
      </x:c>
      <x:c r="G34" s="40" t="n">
        <x:f>C34*Inputs!$B$5/1000</x:f>
        <x:v>24</x:v>
      </x:c>
    </x:row>
    <x:row r="35">
      <x:c r="A35" t="str">
        <x:v>CIVIL_INFRA</x:v>
      </x:c>
      <x:c r="B35" s="40" t="n">
        <x:f>SUMIF(Wind_Map!$C:$C,A35,Wind_Map!$J:$J)</x:f>
        <x:v>47</x:v>
      </x:c>
      <x:c r="C35" s="40" t="n">
        <x:f>SUMIF(Wind_Map!$C:$C,A35,Wind_Map!$K:$K)</x:f>
        <x:v>47</x:v>
      </x:c>
      <x:c r="D35" s="42" t="n">
        <x:f>B35/SUM(Wind_Map!$J:$J)</x:f>
        <x:v>0.023882113821138213</x:v>
      </x:c>
      <x:c r="E35" s="42" t="n">
        <x:f>IF(C35=0,0,C35/SUM(Wind_Map!$K:$K))</x:f>
        <x:v>0.02895871842267406</x:v>
      </x:c>
      <x:c r="F35" s="40" t="n">
        <x:f>B35*Inputs!$B$5/1000</x:f>
        <x:v>9.4</x:v>
      </x:c>
      <x:c r="G35" s="40" t="n">
        <x:f>C35*Inputs!$B$5/1000</x:f>
        <x:v>9.4</x:v>
      </x:c>
    </x:row>
    <x:row r="36">
      <x:c r="A36" t="str">
        <x:v>ELECTRICAL_COLLECTION + SUBSTATION</x:v>
      </x:c>
      <x:c r="B36" s="40" t="n">
        <x:f>SUMIF(Wind_Map!$C:$C,A36,Wind_Map!$J:$J)</x:f>
        <x:v>72</x:v>
      </x:c>
      <x:c r="C36" s="40" t="n">
        <x:f>SUMIF(Wind_Map!$C:$C,A36,Wind_Map!$K:$K)</x:f>
        <x:v>72</x:v>
      </x:c>
      <x:c r="D36" s="42" t="n">
        <x:f>B36/SUM(Wind_Map!$J:$J)</x:f>
        <x:v>0.036585365853658534</x:v>
      </x:c>
      <x:c r="E36" s="42" t="n">
        <x:f>IF(C36=0,0,C36/SUM(Wind_Map!$K:$K))</x:f>
        <x:v>0.04436229205175601</x:v>
      </x:c>
      <x:c r="F36" s="40" t="n">
        <x:f>B36*Inputs!$B$5/1000</x:f>
        <x:v>14.4</x:v>
      </x:c>
      <x:c r="G36" s="40" t="n">
        <x:f>C36*Inputs!$B$5/1000</x:f>
        <x:v>14.4</x:v>
      </x:c>
    </x:row>
    <x:row r="37">
      <x:c r="A37" t="str">
        <x:v>REPLACEMENT_FIELDWORK</x:v>
      </x:c>
      <x:c r="B37" s="40" t="n">
        <x:f>SUMIF(Wind_Map!$C:$C,A37,Wind_Map!$J:$J)</x:f>
        <x:v>100</x:v>
      </x:c>
      <x:c r="C37" s="40" t="n">
        <x:f>SUMIF(Wind_Map!$C:$C,A37,Wind_Map!$K:$K)</x:f>
        <x:v>100</x:v>
      </x:c>
      <x:c r="D37" s="42" t="n">
        <x:f>B37/SUM(Wind_Map!$J:$J)</x:f>
        <x:v>0.0508130081300813</x:v>
      </x:c>
      <x:c r="E37" s="42" t="n">
        <x:f>IF(C37=0,0,C37/SUM(Wind_Map!$K:$K))</x:f>
        <x:v>0.061614294516327786</x:v>
      </x:c>
      <x:c r="F37" s="40" t="n">
        <x:f>B37*Inputs!$B$5/1000</x:f>
        <x:v>20</x:v>
      </x:c>
      <x:c r="G37" s="40" t="n">
        <x:f>C37*Inputs!$B$5/1000</x:f>
        <x:v>20</x:v>
      </x:c>
    </x:row>
    <x:row r="38">
      <x:c r="A38" t="str">
        <x:v>REPLACEMENT_LOGISTICS</x:v>
      </x:c>
      <x:c r="B38" s="40" t="n">
        <x:f>SUMIF(Wind_Map!$C:$C,A38,Wind_Map!$J:$J)</x:f>
        <x:v>194</x:v>
      </x:c>
      <x:c r="C38" s="40" t="n">
        <x:f>SUMIF(Wind_Map!$C:$C,A38,Wind_Map!$K:$K)</x:f>
        <x:v>194</x:v>
      </x:c>
      <x:c r="D38" s="42" t="n">
        <x:f>B38/SUM(Wind_Map!$J:$J)</x:f>
        <x:v>0.09857723577235772</x:v>
      </x:c>
      <x:c r="E38" s="42" t="n">
        <x:f>IF(C38=0,0,C38/SUM(Wind_Map!$K:$K))</x:f>
        <x:v>0.11953173136167591</x:v>
      </x:c>
      <x:c r="F38" s="40" t="n">
        <x:f>B38*Inputs!$B$5/1000</x:f>
        <x:v>38.8</x:v>
      </x:c>
      <x:c r="G38" s="40" t="n">
        <x:f>C38*Inputs!$B$5/1000</x:f>
        <x:v>38.8</x:v>
      </x:c>
    </x:row>
    <x:row r="39">
      <x:c r="A39" t="str">
        <x:v>SUNK_SOFT_NONPHYSICAL</x:v>
      </x:c>
      <x:c r="B39" s="40" t="n">
        <x:f>SUMIF(Wind_Map!$C:$C,A39,Wind_Map!$J:$J)</x:f>
        <x:v>345</x:v>
      </x:c>
      <x:c r="C39" s="40" t="n">
        <x:f>SUMIF(Wind_Map!$C:$C,A39,Wind_Map!$K:$K)</x:f>
        <x:v>0</x:v>
      </x:c>
      <x:c r="D39" s="42" t="n">
        <x:f>B39/SUM(Wind_Map!$J:$J)</x:f>
        <x:v>0.17530487804878048</x:v>
      </x:c>
      <x:c r="E39" s="42" t="n">
        <x:f>IF(C39=0,0,C39/SUM(Wind_Map!$K:$K))</x:f>
        <x:v>0</x:v>
      </x:c>
      <x:c r="F39" s="40" t="n">
        <x:f>B39*Inputs!$B$5/1000</x:f>
        <x:v>69</x:v>
      </x:c>
      <x:c r="G39" s="40" t="n">
        <x:f>C39*Inputs!$B$5/1000</x:f>
        <x:v>0</x:v>
      </x:c>
    </x:row>
  </x:sheetData>
  <x:mergeCells>
    <x:mergeCell ref="A1:H1"/>
    <x:mergeCell ref="A12:G12"/>
    <x:mergeCell ref="A27:G27"/>
  </x:mergeCells>
  <x:pageMargins left="0.7" right="0.7" top="0.75" bottom="0.75" header="0.3" footer="0.3"/>
  <x:drawing xmlns:r="http://schemas.openxmlformats.org/officeDocument/2006/relationships" r:id="R94fe0ca477ad4b55"/>
  <x:tableParts count="2">
    <x:tablePart xmlns:r="http://schemas.openxmlformats.org/officeDocument/2006/relationships" r:id="R0a57134856b440cd"/>
    <x:tablePart xmlns:r="http://schemas.openxmlformats.org/officeDocument/2006/relationships" r:id="Re4851bfdedd243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130000114440918" hidden="0" customWidth="1"/>
    <x:col min="2" max="2" width="9.75" hidden="0" customWidth="1"/>
    <x:col min="3" max="3" width="21.3799991607666" hidden="0" customWidth="1"/>
    <x:col min="4" max="4" width="44.25" hidden="0" customWidth="1"/>
    <x:col min="5" max="5" width="32" hidden="0" customWidth="1"/>
    <x:col min="6" max="6" width="17.8799991607666" hidden="0" customWidth="1"/>
    <x:col min="7" max="7" width="9.630000114440918" hidden="0" customWidth="1"/>
    <x:col min="8" max="8" width="19.8799991607666" hidden="0" customWidth="1"/>
    <x:col min="9" max="9" width="7.75" hidden="0" customWidth="1"/>
    <x:col min="10" max="10" width="17.25" hidden="0" customWidth="1"/>
    <x:col min="11" max="11" width="16.8799991607666" hidden="0" customWidth="1"/>
    <x:col min="12" max="12" width="12.130000114440918" hidden="0" customWidth="1"/>
    <x:col min="13" max="13" width="11.75" hidden="0" customWidth="1"/>
    <x:col min="14" max="14" width="22" hidden="0" customWidth="1"/>
    <x:col min="15" max="15" width="21.6299991607666" hidden="0" customWidth="1"/>
    <x:col min="16" max="16" width="45" hidden="0" customWidth="1"/>
    <x:col min="17" max="17" width="70" hidden="0" customWidth="1"/>
  </x:cols>
  <x:sheetData>
    <x:row r="1">
      <x:c r="A1" s="13" t="str">
        <x:v>tech</x:v>
      </x:c>
      <x:c r="B1" s="13" t="str">
        <x:v>asset_scope</x:v>
      </x:c>
      <x:c r="C1" s="13" t="str">
        <x:v>subsystem</x:v>
      </x:c>
      <x:c r="D1" s="13" t="str">
        <x:v>component</x:v>
      </x:c>
      <x:c r="E1" s="13" t="str">
        <x:v>source_cost_item</x:v>
      </x:c>
      <x:c r="F1" s="13" t="str">
        <x:v>cost_bucket</x:v>
      </x:c>
      <x:c r="G1" s="13" t="str">
        <x:v>basis_scope</x:v>
      </x:c>
      <x:c r="H1" s="13" t="str">
        <x:v>include_in_physical_base</x:v>
      </x:c>
      <x:c r="I1" s="13" t="str">
        <x:v>trust_tier</x:v>
      </x:c>
      <x:c r="J1" s="13" t="str">
        <x:v>installed_usd_per_kw</x:v>
      </x:c>
      <x:c r="K1" s="13" t="str">
        <x:v>physical_usd_per_kw</x:v>
      </x:c>
      <x:c r="L1" s="13" t="str">
        <x:v>installed_share</x:v>
      </x:c>
      <x:c r="M1" s="13" t="str">
        <x:v>physical_share</x:v>
      </x:c>
      <x:c r="N1" s="13" t="str">
        <x:v>default_installed_value_usd</x:v>
      </x:c>
      <x:c r="O1" s="13" t="str">
        <x:v>default_physical_value_usd</x:v>
      </x:c>
      <x:c r="P1" s="13" t="str">
        <x:v>source_url</x:v>
      </x:c>
      <x:c r="Q1" s="13" t="str">
        <x:v>notes</x:v>
      </x:c>
    </x:row>
    <x:row r="2">
      <x:c r="A2" t="str">
        <x:v>solar</x:v>
      </x:c>
      <x:c r="B2" t="str">
        <x:v>generator</x:v>
      </x:c>
      <x:c r="C2" t="str">
        <x:v>PV_ARRAY</x:v>
      </x:c>
      <x:c r="D2" t="str">
        <x:v>PV_MODULE</x:v>
      </x:c>
      <x:c r="E2" t="str">
        <x:v>Module hardware + module-level manufacturing overhead/profit/subsidy</x:v>
      </x:c>
      <x:c r="F2" t="str">
        <x:v>hardware</x:v>
      </x:c>
      <x:c r="G2" t="str">
        <x:v>physical</x:v>
      </x:c>
      <x:c r="H2" t="str">
        <x:v>Y</x:v>
      </x:c>
      <x:c r="I2" t="str">
        <x:v>high</x:v>
      </x:c>
      <x:c r="J2" s="47" t="n">
        <x:v>291.21485143992487</x:v>
      </x:c>
      <x:c r="K2" s="47" t="n">
        <x:v>291.21485143992487</x:v>
      </x:c>
      <x:c r="L2" s="50" t="n">
        <x:f>J2/SUM($J$2:$J$17)</x:f>
        <x:v>0.26001326021421867</x:v>
      </x:c>
      <x:c r="M2" s="50" t="n">
        <x:f>IF(K2=0,0,K2/SUM($K$2:$K$17))</x:f>
        <x:v>0.3317569801903719</x:v>
      </x:c>
      <x:c r="N2" s="51" t="n">
        <x:f>J2*Inputs!$B$4*1000</x:f>
        <x:v>29121485.143992487</x:v>
      </x:c>
      <x:c r="O2" s="51" t="n">
        <x:f>K2*Inputs!$B$4*1000</x:f>
        <x:v>29121485.143992487</x:v>
      </x:c>
      <x:c r="P2" s="54" t="str">
        <x:v>https://data.nlr.gov/system/files/304/1767739491-UPV%202025Q1.txt</x:v>
      </x:c>
      <x:c r="Q2" s="18" t="str">
        <x:v>Module BOM shown in Solar_Raw_NREL; includes manufacturing labor/overhead/profit/shipping/subsidy.</x:v>
      </x:c>
    </x:row>
    <x:row r="3">
      <x:c r="A3" t="str">
        <x:v>solar</x:v>
      </x:c>
      <x:c r="B3" t="str">
        <x:v>generator</x:v>
      </x:c>
      <x:c r="C3" t="str">
        <x:v>MOUNTING</x:v>
      </x:c>
      <x:c r="D3" t="str">
        <x:v>TRACKER + RACKING_STRUCTURE</x:v>
      </x:c>
      <x:c r="E3" t="str">
        <x:v>SBOS tracker/racking hardware</x:v>
      </x:c>
      <x:c r="F3" t="str">
        <x:v>hardware</x:v>
      </x:c>
      <x:c r="G3" t="str">
        <x:v>physical</x:v>
      </x:c>
      <x:c r="H3" t="str">
        <x:v>Y</x:v>
      </x:c>
      <x:c r="I3" t="str">
        <x:v>high</x:v>
      </x:c>
      <x:c r="J3" s="47" t="n">
        <x:v>109.98972602739727</x:v>
      </x:c>
      <x:c r="K3" s="47" t="n">
        <x:v>109.98972602739727</x:v>
      </x:c>
      <x:c r="L3" s="50" t="n">
        <x:f>J3/SUM($J$2:$J$17)</x:f>
        <x:v>0.09820511252446186</x:v>
      </x:c>
      <x:c r="M3" s="50" t="n">
        <x:f>IF(K3=0,0,K3/SUM($K$2:$K$17))</x:f>
        <x:v>0.12530219244791235</x:v>
      </x:c>
      <x:c r="N3" s="51" t="n">
        <x:f>J3*Inputs!$B$4*1000</x:f>
        <x:v>10998972.602739727</x:v>
      </x:c>
      <x:c r="O3" s="51" t="n">
        <x:f>K3*Inputs!$B$4*1000</x:f>
        <x:v>10998972.602739727</x:v>
      </x:c>
      <x:c r="P3" s="54" t="str">
        <x:v>https://data.nlr.gov/system/files/304/1767739491-UPV%202025Q1.txt</x:v>
      </x:c>
      <x:c r="Q3" s="18" t="str">
        <x:v>Single-axis tracker/racking elements excluding driven piers and inverter pad.</x:v>
      </x:c>
    </x:row>
    <x:row r="4">
      <x:c r="A4" t="str">
        <x:v>solar</x:v>
      </x:c>
      <x:c r="B4" t="str">
        <x:v>generator</x:v>
      </x:c>
      <x:c r="C4" t="str">
        <x:v>FOUNDATION</x:v>
      </x:c>
      <x:c r="D4" t="str">
        <x:v>FOUNDATION_BASE</x:v>
      </x:c>
      <x:c r="E4" t="str">
        <x:v>SBOS driven piers + EBOS pad</x:v>
      </x:c>
      <x:c r="F4" t="str">
        <x:v>hardware</x:v>
      </x:c>
      <x:c r="G4" t="str">
        <x:v>physical</x:v>
      </x:c>
      <x:c r="H4" t="str">
        <x:v>Y</x:v>
      </x:c>
      <x:c r="I4" t="str">
        <x:v>high</x:v>
      </x:c>
      <x:c r="J4" s="47" t="n">
        <x:v>31.12448715327472</x:v>
      </x:c>
      <x:c r="K4" s="47" t="n">
        <x:v>31.12448715327472</x:v>
      </x:c>
      <x:c r="L4" s="50" t="n">
        <x:f>J4/SUM($J$2:$J$17)</x:f>
        <x:v>0.02778972067256672</x:v>
      </x:c>
      <x:c r="M4" s="50" t="n">
        <x:f>IF(K4=0,0,K4/SUM($K$2:$K$17))</x:f>
        <x:v>0.03545755244585994</x:v>
      </x:c>
      <x:c r="N4" s="51" t="n">
        <x:f>J4*Inputs!$B$4*1000</x:f>
        <x:v>3112448.7153274724</x:v>
      </x:c>
      <x:c r="O4" s="51" t="n">
        <x:f>K4*Inputs!$B$4*1000</x:f>
        <x:v>3112448.7153274724</x:v>
      </x:c>
      <x:c r="P4" s="54" t="str">
        <x:v>https://data.nlr.gov/system/files/304/1767739491-UPV%202025Q1.txt</x:v>
      </x:c>
      <x:c r="Q4" s="18" t="str">
        <x:v>Solar pile/pad line items mapped to FOUNDATION.</x:v>
      </x:c>
    </x:row>
    <x:row r="5">
      <x:c r="A5" t="str">
        <x:v>solar</x:v>
      </x:c>
      <x:c r="B5" t="str">
        <x:v>generator</x:v>
      </x:c>
      <x:c r="C5" t="str">
        <x:v>INVERTER_SYSTEM</x:v>
      </x:c>
      <x:c r="D5" t="str">
        <x:v>INVERTER</x:v>
      </x:c>
      <x:c r="E5" t="str">
        <x:v>Central inverter hardware</x:v>
      </x:c>
      <x:c r="F5" t="str">
        <x:v>hardware</x:v>
      </x:c>
      <x:c r="G5" t="str">
        <x:v>physical</x:v>
      </x:c>
      <x:c r="H5" t="str">
        <x:v>Y</x:v>
      </x:c>
      <x:c r="I5" t="str">
        <x:v>high</x:v>
      </x:c>
      <x:c r="J5" s="47" t="n">
        <x:v>32.306366410372384</x:v>
      </x:c>
      <x:c r="K5" s="47" t="n">
        <x:v>32.306366410372384</x:v>
      </x:c>
      <x:c r="L5" s="50" t="n">
        <x:f>J5/SUM($J$2:$J$17)</x:f>
        <x:v>0.02884497000926106</x:v>
      </x:c>
      <x:c r="M5" s="50" t="n">
        <x:f>IF(K5=0,0,K5/SUM($K$2:$K$17))</x:f>
        <x:v>0.03680396967473965</x:v>
      </x:c>
      <x:c r="N5" s="51" t="n">
        <x:f>J5*Inputs!$B$4*1000</x:f>
        <x:v>3230636.6410372383</x:v>
      </x:c>
      <x:c r="O5" s="51" t="n">
        <x:f>K5*Inputs!$B$4*1000</x:f>
        <x:v>3230636.6410372383</x:v>
      </x:c>
      <x:c r="P5" s="54" t="str">
        <x:v>https://data.nlr.gov/system/files/304/1767739491-UPV%202025Q1.txt</x:v>
      </x:c>
      <x:c r="Q5" s="18" t="str">
        <x:v>4 MWac central inverter; component BOM in Solar_Raw_NREL.</x:v>
      </x:c>
    </x:row>
    <x:row r="6">
      <x:c r="A6" t="str">
        <x:v>solar</x:v>
      </x:c>
      <x:c r="B6" t="str">
        <x:v>generator</x:v>
      </x:c>
      <x:c r="C6" t="str">
        <x:v>INVERTER_SYSTEM</x:v>
      </x:c>
      <x:c r="D6" t="str">
        <x:v>COMBINER_BOX</x:v>
      </x:c>
      <x:c r="E6" t="str">
        <x:v>EBOS combiner boxes</x:v>
      </x:c>
      <x:c r="F6" t="str">
        <x:v>hardware</x:v>
      </x:c>
      <x:c r="G6" t="str">
        <x:v>physical</x:v>
      </x:c>
      <x:c r="H6" t="str">
        <x:v>Y</x:v>
      </x:c>
      <x:c r="I6" t="str">
        <x:v>high</x:v>
      </x:c>
      <x:c r="J6" s="47" t="n">
        <x:v>6.82625</x:v>
      </x:c>
      <x:c r="K6" s="47" t="n">
        <x:v>6.82625</x:v>
      </x:c>
      <x:c r="L6" s="50" t="n">
        <x:f>J6/SUM($J$2:$J$17)</x:f>
        <x:v>0.006094866071428572</x:v>
      </x:c>
      <x:c r="M6" s="50" t="n">
        <x:f>IF(K6=0,0,K6/SUM($K$2:$K$17))</x:f>
        <x:v>0.007776581705317682</x:v>
      </x:c>
      <x:c r="N6" s="51" t="n">
        <x:f>J6*Inputs!$B$4*1000</x:f>
        <x:v>682625</x:v>
      </x:c>
      <x:c r="O6" s="51" t="n">
        <x:f>K6*Inputs!$B$4*1000</x:f>
        <x:v>682625</x:v>
      </x:c>
      <x:c r="P6" s="54" t="str">
        <x:v>https://data.nlr.gov/system/files/304/1767739491-UPV%202025Q1.txt</x:v>
      </x:c>
      <x:c r="Q6" s="18" t="str">
        <x:v>1500V combiner boxes from EBOS.</x:v>
      </x:c>
    </x:row>
    <x:row r="7">
      <x:c r="A7" t="str">
        <x:v>solar</x:v>
      </x:c>
      <x:c r="B7" t="str">
        <x:v>plant</x:v>
      </x:c>
      <x:c r="C7" t="str">
        <x:v>ELECTRICAL_COLLECTION</x:v>
      </x:c>
      <x:c r="D7" t="str">
        <x:v>CABLE_AC + CABLE_DC</x:v>
      </x:c>
      <x:c r="E7" t="str">
        <x:v>EBOS conductors + transmission line + EBOS shipping</x:v>
      </x:c>
      <x:c r="F7" t="str">
        <x:v>hardware</x:v>
      </x:c>
      <x:c r="G7" t="str">
        <x:v>physical</x:v>
      </x:c>
      <x:c r="H7" t="str">
        <x:v>Y</x:v>
      </x:c>
      <x:c r="I7" t="str">
        <x:v>high</x:v>
      </x:c>
      <x:c r="J7" s="47" t="n">
        <x:v>69.3201119402985</x:v>
      </x:c>
      <x:c r="K7" s="47" t="n">
        <x:v>69.3201119402985</x:v>
      </x:c>
      <x:c r="L7" s="50" t="n">
        <x:f>J7/SUM($J$2:$J$17)</x:f>
        <x:v>0.061892957089552246</x:v>
      </x:c>
      <x:c r="M7" s="50" t="n">
        <x:f>IF(K7=0,0,K7/SUM($K$2:$K$17))</x:f>
        <x:v>0.07897066681201233</x:v>
      </x:c>
      <x:c r="N7" s="51" t="n">
        <x:f>J7*Inputs!$B$4*1000</x:f>
        <x:v>6932011.19402985</x:v>
      </x:c>
      <x:c r="O7" s="51" t="n">
        <x:f>K7*Inputs!$B$4*1000</x:f>
        <x:v>6932011.19402985</x:v>
      </x:c>
      <x:c r="P7" s="54" t="str">
        <x:v>https://data.nlr.gov/system/files/304/1767739491-UPV%202025Q1.txt</x:v>
      </x:c>
      <x:c r="Q7" s="18" t="str">
        <x:v>Includes project electrical line if owner-replaceable; switch this to nonphysical if outside insured asset boundary.</x:v>
      </x:c>
    </x:row>
    <x:row r="8">
      <x:c r="A8" t="str">
        <x:v>solar</x:v>
      </x:c>
      <x:c r="B8" t="str">
        <x:v>plant</x:v>
      </x:c>
      <x:c r="C8" t="str">
        <x:v>SUBSTATION</x:v>
      </x:c>
      <x:c r="D8" t="str">
        <x:v>TRANSFORMER_MAIN + SWITCHGEAR</x:v>
      </x:c>
      <x:c r="E8" t="str">
        <x:v>EBOS transformer/switches/breakers/substation</x:v>
      </x:c>
      <x:c r="F8" t="str">
        <x:v>hardware</x:v>
      </x:c>
      <x:c r="G8" t="str">
        <x:v>physical</x:v>
      </x:c>
      <x:c r="H8" t="str">
        <x:v>Y</x:v>
      </x:c>
      <x:c r="I8" t="str">
        <x:v>high</x:v>
      </x:c>
      <x:c r="J8" s="47" t="n">
        <x:v>106.50466417910448</x:v>
      </x:c>
      <x:c r="K8" s="47" t="n">
        <x:v>106.50466417910448</x:v>
      </x:c>
      <x:c r="L8" s="50" t="n">
        <x:f>J8/SUM($J$2:$J$17)</x:f>
        <x:v>0.09509345015991473</x:v>
      </x:c>
      <x:c r="M8" s="50" t="n">
        <x:f>IF(K8=0,0,K8/SUM($K$2:$K$17))</x:f>
        <x:v>0.12133194989726824</x:v>
      </x:c>
      <x:c r="N8" s="51" t="n">
        <x:f>J8*Inputs!$B$4*1000</x:f>
        <x:v>10650466.417910447</x:v>
      </x:c>
      <x:c r="O8" s="51" t="n">
        <x:f>K8*Inputs!$B$4*1000</x:f>
        <x:v>10650466.417910447</x:v>
      </x:c>
      <x:c r="P8" s="54" t="str">
        <x:v>https://data.nlr.gov/system/files/304/1767739491-UPV%202025Q1.txt</x:v>
      </x:c>
      <x:c r="Q8" s="18" t="str">
        <x:v>Transformer, switchgear, breakers, and step-up substation rollup.</x:v>
      </x:c>
    </x:row>
    <x:row r="9">
      <x:c r="A9" t="str">
        <x:v>solar</x:v>
      </x:c>
      <x:c r="B9" t="str">
        <x:v>plant</x:v>
      </x:c>
      <x:c r="C9" t="str">
        <x:v>GROUNDING_LIGHTNING</x:v>
      </x:c>
      <x:c r="D9" t="str">
        <x:v>GROUNDING_GRID + LIGHTNING_PROTECTION</x:v>
      </x:c>
      <x:c r="E9" t="str">
        <x:v>EBOS grounding / lightning rods</x:v>
      </x:c>
      <x:c r="F9" t="str">
        <x:v>hardware</x:v>
      </x:c>
      <x:c r="G9" t="str">
        <x:v>physical</x:v>
      </x:c>
      <x:c r="H9" t="str">
        <x:v>Y</x:v>
      </x:c>
      <x:c r="I9" t="str">
        <x:v>high</x:v>
      </x:c>
      <x:c r="J9" s="47" t="n">
        <x:v>8.385</x:v>
      </x:c>
      <x:c r="K9" s="47" t="n">
        <x:v>8.385</x:v>
      </x:c>
      <x:c r="L9" s="50" t="n">
        <x:f>J9/SUM($J$2:$J$17)</x:f>
        <x:v>0.007486607142857144</x:v>
      </x:c>
      <x:c r="M9" s="50" t="n">
        <x:f>IF(K9=0,0,K9/SUM($K$2:$K$17))</x:f>
        <x:v>0.009552336582909908</x:v>
      </x:c>
      <x:c r="N9" s="51" t="n">
        <x:f>J9*Inputs!$B$4*1000</x:f>
        <x:v>838500</x:v>
      </x:c>
      <x:c r="O9" s="51" t="n">
        <x:f>K9*Inputs!$B$4*1000</x:f>
        <x:v>838500</x:v>
      </x:c>
      <x:c r="P9" s="54" t="str">
        <x:v>https://data.nlr.gov/system/files/304/1767739491-UPV%202025Q1.txt</x:v>
      </x:c>
      <x:c r="Q9" s="18" t="str">
        <x:v>PVSCM notes grounding includes earthing cables and lightning rods.</x:v>
      </x:c>
    </x:row>
    <x:row r="10">
      <x:c r="A10" t="str">
        <x:v>solar</x:v>
      </x:c>
      <x:c r="B10" t="str">
        <x:v>plant</x:v>
      </x:c>
      <x:c r="C10" t="str">
        <x:v>SCADA</x:v>
      </x:c>
      <x:c r="D10" t="str">
        <x:v>MONITORING_SYSTEM</x:v>
      </x:c>
      <x:c r="E10" t="str">
        <x:v>EBOS system monitor</x:v>
      </x:c>
      <x:c r="F10" t="str">
        <x:v>hardware</x:v>
      </x:c>
      <x:c r="G10" t="str">
        <x:v>physical</x:v>
      </x:c>
      <x:c r="H10" t="str">
        <x:v>Y</x:v>
      </x:c>
      <x:c r="I10" t="str">
        <x:v>high</x:v>
      </x:c>
      <x:c r="J10" s="47" t="n">
        <x:v>1.31</x:v>
      </x:c>
      <x:c r="K10" s="47" t="n">
        <x:v>1.31</x:v>
      </x:c>
      <x:c r="L10" s="50" t="n">
        <x:f>J10/SUM($J$2:$J$17)</x:f>
        <x:v>0.0011696428571428574</x:v>
      </x:c>
      <x:c r="M10" s="50" t="n">
        <x:f>IF(K10=0,0,K10/SUM($K$2:$K$17))</x:f>
        <x:v>0.0014923745883854479</x:v>
      </x:c>
      <x:c r="N10" s="51" t="n">
        <x:f>J10*Inputs!$B$4*1000</x:f>
        <x:v>131000</x:v>
      </x:c>
      <x:c r="O10" s="51" t="n">
        <x:f>K10*Inputs!$B$4*1000</x:f>
        <x:v>131000</x:v>
      </x:c>
      <x:c r="P10" s="54" t="str">
        <x:v>https://data.nlr.gov/system/files/304/1767739491-UPV%202025Q1.txt</x:v>
      </x:c>
      <x:c r="Q10" s="18" t="str">
        <x:v>Fixed system monitor cost.</x:v>
      </x:c>
    </x:row>
    <x:row r="11">
      <x:c r="A11" t="str">
        <x:v>solar</x:v>
      </x:c>
      <x:c r="B11" t="str">
        <x:v>plant</x:v>
      </x:c>
      <x:c r="C11" t="str">
        <x:v>ELECTRICAL_COLLECTION</x:v>
      </x:c>
      <x:c r="D11" t="str">
        <x:v>NETWORK_UPGRADE</x:v>
      </x:c>
      <x:c r="E11" t="str">
        <x:v>Grid network upgrade</x:v>
      </x:c>
      <x:c r="F11" t="str">
        <x:v>sunk/grid</x:v>
      </x:c>
      <x:c r="G11" t="str">
        <x:v>nonphysical</x:v>
      </x:c>
      <x:c r="H11" t="str">
        <x:v>N</x:v>
      </x:c>
      <x:c r="I11" t="str">
        <x:v>high</x:v>
      </x:c>
      <x:c r="J11" s="47" t="n">
        <x:v>38.253731343283576</x:v>
      </x:c>
      <x:c r="K11" s="47" t="n">
        <x:v>0</x:v>
      </x:c>
      <x:c r="L11" s="50" t="n">
        <x:f>J11/SUM($J$2:$J$17)</x:f>
        <x:v>0.03415511727078891</x:v>
      </x:c>
      <x:c r="M11" s="50" t="n">
        <x:f>IF(K11=0,0,K11/SUM($K$2:$K$17))</x:f>
        <x:v>0</x:v>
      </x:c>
      <x:c r="N11" s="51" t="n">
        <x:f>J11*Inputs!$B$4*1000</x:f>
        <x:v>3825373.1343283574</x:v>
      </x:c>
      <x:c r="O11" s="51" t="n">
        <x:f>K11*Inputs!$B$4*1000</x:f>
        <x:v>0</x:v>
      </x:c>
      <x:c r="P11" s="54" t="str">
        <x:v>https://data.nlr.gov/system/files/304/1767739491-UPV%202025Q1.txt</x:v>
      </x:c>
      <x:c r="Q11" s="18" t="str">
        <x:v>Grid upgrade at interconnection point; excluded from physical replaceable base.</x:v>
      </x:c>
    </x:row>
    <x:row r="12">
      <x:c r="A12" t="str">
        <x:v>solar</x:v>
      </x:c>
      <x:c r="B12" t="str">
        <x:v>generator</x:v>
      </x:c>
      <x:c r="C12" t="str">
        <x:v>MOUNTING</x:v>
      </x:c>
      <x:c r="D12" t="str">
        <x:v>TRACKER + RACKING_STRUCTURE</x:v>
      </x:c>
      <x:c r="E12" t="str">
        <x:v>SBOS field labor</x:v>
      </x:c>
      <x:c r="F12" t="str">
        <x:v>replacement_fieldwork</x:v>
      </x:c>
      <x:c r="G12" t="str">
        <x:v>physical</x:v>
      </x:c>
      <x:c r="H12" t="str">
        <x:v>Y</x:v>
      </x:c>
      <x:c r="I12" t="str">
        <x:v>high</x:v>
      </x:c>
      <x:c r="J12" s="47" t="n">
        <x:v>43.273972602739725</x:v>
      </x:c>
      <x:c r="K12" s="47" t="n">
        <x:v>43.273972602739725</x:v>
      </x:c>
      <x:c r="L12" s="50" t="n">
        <x:f>J12/SUM($J$2:$J$17)</x:f>
        <x:v>0.03863747553816048</x:v>
      </x:c>
      <x:c r="M12" s="50" t="n">
        <x:f>IF(K12=0,0,K12/SUM($K$2:$K$17))</x:f>
        <x:v>0.04929845576398233</x:v>
      </x:c>
      <x:c r="N12" s="51" t="n">
        <x:f>J12*Inputs!$B$4*1000</x:f>
        <x:v>4327397.2602739725</x:v>
      </x:c>
      <x:c r="O12" s="51" t="n">
        <x:f>K12*Inputs!$B$4*1000</x:f>
        <x:v>4327397.2602739725</x:v>
      </x:c>
      <x:c r="P12" s="54" t="str">
        <x:v>https://data.nlr.gov/system/files/304/1767739491-UPV%202025Q1.txt</x:v>
      </x:c>
      <x:c r="Q12" s="18" t="str">
        <x:v>Replacement labor add-on; can be allocated to damaged mounting/foundation/PV array at claim time.</x:v>
      </x:c>
    </x:row>
    <x:row r="13">
      <x:c r="A13" t="str">
        <x:v>solar</x:v>
      </x:c>
      <x:c r="B13" t="str">
        <x:v>plant</x:v>
      </x:c>
      <x:c r="C13" t="str">
        <x:v>ELECTRICAL_COLLECTION</x:v>
      </x:c>
      <x:c r="D13" t="str">
        <x:v>CABLE_AC + CABLE_DC + SCADA</x:v>
      </x:c>
      <x:c r="E13" t="str">
        <x:v>EBOS field labor</x:v>
      </x:c>
      <x:c r="F13" t="str">
        <x:v>replacement_fieldwork</x:v>
      </x:c>
      <x:c r="G13" t="str">
        <x:v>physical</x:v>
      </x:c>
      <x:c r="H13" t="str">
        <x:v>Y</x:v>
      </x:c>
      <x:c r="I13" t="str">
        <x:v>high</x:v>
      </x:c>
      <x:c r="J13" s="47" t="n">
        <x:v>39.447761194029844</x:v>
      </x:c>
      <x:c r="K13" s="47" t="n">
        <x:v>39.447761194029844</x:v>
      </x:c>
      <x:c r="L13" s="50" t="n">
        <x:f>J13/SUM($J$2:$J$17)</x:f>
        <x:v>0.03522121535181237</x:v>
      </x:c>
      <x:c r="M13" s="50" t="n">
        <x:f>IF(K13=0,0,K13/SUM($K$2:$K$17))</x:f>
        <x:v>0.04493956975165476</x:v>
      </x:c>
      <x:c r="N13" s="51" t="n">
        <x:f>J13*Inputs!$B$4*1000</x:f>
        <x:v>3944776.1194029846</x:v>
      </x:c>
      <x:c r="O13" s="51" t="n">
        <x:f>K13*Inputs!$B$4*1000</x:f>
        <x:v>3944776.1194029846</x:v>
      </x:c>
      <x:c r="P13" s="54" t="str">
        <x:v>https://data.nlr.gov/system/files/304/1767739491-UPV%202025Q1.txt</x:v>
      </x:c>
      <x:c r="Q13" s="18" t="str">
        <x:v>Replacement labor add-on for inverter, trenching, cable runs, SCADA setup.</x:v>
      </x:c>
    </x:row>
    <x:row r="14">
      <x:c r="A14" t="str">
        <x:v>solar</x:v>
      </x:c>
      <x:c r="B14" t="str">
        <x:v>plant</x:v>
      </x:c>
      <x:c r="C14" t="str">
        <x:v>CIVIL_INFRA</x:v>
      </x:c>
      <x:c r="D14" t="str">
        <x:v>SITE_PREP</x:v>
      </x:c>
      <x:c r="E14" t="str">
        <x:v>Fieldwork site prep</x:v>
      </x:c>
      <x:c r="F14" t="str">
        <x:v>replacement_fieldwork</x:v>
      </x:c>
      <x:c r="G14" t="str">
        <x:v>physical</x:v>
      </x:c>
      <x:c r="H14" t="str">
        <x:v>Y</x:v>
      </x:c>
      <x:c r="I14" t="str">
        <x:v>high</x:v>
      </x:c>
      <x:c r="J14" s="47" t="n">
        <x:v>31.223744292237445</x:v>
      </x:c>
      <x:c r="K14" s="47" t="n">
        <x:v>31.223744292237445</x:v>
      </x:c>
      <x:c r="L14" s="50" t="n">
        <x:f>J14/SUM($J$2:$J$17)</x:f>
        <x:v>0.02787834311806915</x:v>
      </x:c>
      <x:c r="M14" s="50" t="n">
        <x:f>IF(K14=0,0,K14/SUM($K$2:$K$17))</x:f>
        <x:v>0.035570627890061324</x:v>
      </x:c>
      <x:c r="N14" s="51" t="n">
        <x:f>J14*Inputs!$B$4*1000</x:f>
        <x:v>3122374.429223744</x:v>
      </x:c>
      <x:c r="O14" s="51" t="n">
        <x:f>K14*Inputs!$B$4*1000</x:f>
        <x:v>3122374.429223744</x:v>
      </x:c>
      <x:c r="P14" s="54" t="str">
        <x:v>https://data.nlr.gov/system/files/304/1767739491-UPV%202025Q1.txt</x:v>
      </x:c>
      <x:c r="Q14" s="18" t="str">
        <x:v>Grading, fencing, access roads, maintenance buildings.</x:v>
      </x:c>
    </x:row>
    <x:row r="15">
      <x:c r="A15" t="str">
        <x:v>solar</x:v>
      </x:c>
      <x:c r="B15" t="str">
        <x:v>cost_basis</x:v>
      </x:c>
      <x:c r="C15" t="str">
        <x:v>REPLACEMENT_FIELDWORK</x:v>
      </x:c>
      <x:c r="D15" t="str">
        <x:v>SITE_MANAGEMENT + EQUIPMENT_RENTAL + INSPECTION</x:v>
      </x:c>
      <x:c r="E15" t="str">
        <x:v>Site management, equipment rental, inspection</x:v>
      </x:c>
      <x:c r="F15" t="str">
        <x:v>replacement_fieldwork</x:v>
      </x:c>
      <x:c r="G15" t="str">
        <x:v>physical</x:v>
      </x:c>
      <x:c r="H15" t="str">
        <x:v>Y</x:v>
      </x:c>
      <x:c r="I15" t="str">
        <x:v>medium</x:v>
      </x:c>
      <x:c r="J15" s="47" t="n">
        <x:v>106.86876712328767</x:v>
      </x:c>
      <x:c r="K15" s="47" t="n">
        <x:v>106.86876712328767</x:v>
      </x:c>
      <x:c r="L15" s="50" t="n">
        <x:f>J15/SUM($J$2:$J$17)</x:f>
        <x:v>0.09541854207436401</x:v>
      </x:c>
      <x:c r="M15" s="50" t="n">
        <x:f>IF(K15=0,0,K15/SUM($K$2:$K$17))</x:f>
        <x:v>0.12174674224952421</x:v>
      </x:c>
      <x:c r="N15" s="51" t="n">
        <x:f>J15*Inputs!$B$4*1000</x:f>
        <x:v>10686876.712328767</x:v>
      </x:c>
      <x:c r="O15" s="51" t="n">
        <x:f>K15*Inputs!$B$4*1000</x:f>
        <x:v>10686876.712328767</x:v>
      </x:c>
      <x:c r="P15" s="54" t="str">
        <x:v>https://data.nlr.gov/system/files/304/1767739491-UPV%202025Q1.txt</x:v>
      </x:c>
      <x:c r="Q15" s="18" t="str">
        <x:v>Cost basis row, not a runtime substrate subsystem; allocate to damaged physical subsystems at event/claim time.</x:v>
      </x:c>
    </x:row>
    <x:row r="16">
      <x:c r="A16" t="str">
        <x:v>solar</x:v>
      </x:c>
      <x:c r="B16" t="str">
        <x:v>cost_basis</x:v>
      </x:c>
      <x:c r="C16" t="str">
        <x:v>SUNK_SOFT_NONPHYSICAL</x:v>
      </x:c>
      <x:c r="D16" t="str">
        <x:v>OFFICEWORK</x:v>
      </x:c>
      <x:c r="E16" t="str">
        <x:v>PVSCM officework total</x:v>
      </x:c>
      <x:c r="F16" t="str">
        <x:v>soft/sunk</x:v>
      </x:c>
      <x:c r="G16" t="str">
        <x:v>nonphysical</x:v>
      </x:c>
      <x:c r="H16" t="str">
        <x:v>N</x:v>
      </x:c>
      <x:c r="I16" t="str">
        <x:v>high</x:v>
      </x:c>
      <x:c r="J16" s="47" t="n">
        <x:v>70.27756559667417</x:v>
      </x:c>
      <x:c r="K16" s="47" t="n">
        <x:v>0</x:v>
      </x:c>
      <x:c r="L16" s="50" t="n">
        <x:f>J16/SUM($J$2:$J$17)</x:f>
        <x:v>0.06274782642560195</x:v>
      </x:c>
      <x:c r="M16" s="50" t="n">
        <x:f>IF(K16=0,0,K16/SUM($K$2:$K$17))</x:f>
        <x:v>0</x:v>
      </x:c>
      <x:c r="N16" s="51" t="n">
        <x:f>J16*Inputs!$B$4*1000</x:f>
        <x:v>7027756.559667417</x:v>
      </x:c>
      <x:c r="O16" s="51" t="n">
        <x:f>K16*Inputs!$B$4*1000</x:f>
        <x:v>0</x:v>
      </x:c>
      <x:c r="P16" s="54" t="str">
        <x:v>https://data.nlr.gov/system/files/304/1767739491-UPV%202025Q1.txt</x:v>
      </x:c>
      <x:c r="Q16" s="18" t="str">
        <x:v>Off-site labor: warehousing, logistics, engineering, permits, interconnect, outreach.</x:v>
      </x:c>
    </x:row>
    <x:row r="17">
      <x:c r="A17" t="str">
        <x:v>solar</x:v>
      </x:c>
      <x:c r="B17" t="str">
        <x:v>cost_basis</x:v>
      </x:c>
      <x:c r="C17" t="str">
        <x:v>SUNK_SOFT_NONPHYSICAL</x:v>
      </x:c>
      <x:c r="D17" t="str">
        <x:v>OTHER</x:v>
      </x:c>
      <x:c r="E17" t="str">
        <x:v>PVSCM Other total</x:v>
      </x:c>
      <x:c r="F17" t="str">
        <x:v>soft/sunk</x:v>
      </x:c>
      <x:c r="G17" t="str">
        <x:v>nonphysical</x:v>
      </x:c>
      <x:c r="H17" t="str">
        <x:v>N</x:v>
      </x:c>
      <x:c r="I17" t="str">
        <x:v>medium</x:v>
      </x:c>
      <x:c r="J17" s="47" t="n">
        <x:v>133.6730006973752</x:v>
      </x:c>
      <x:c r="K17" s="47" t="n">
        <x:v>0</x:v>
      </x:c>
      <x:c r="L17" s="50" t="n">
        <x:f>J17/SUM($J$2:$J$17)</x:f>
        <x:v>0.1193508934797993</x:v>
      </x:c>
      <x:c r="M17" s="50" t="n">
        <x:f>IF(K17=0,0,K17/SUM($K$2:$K$17))</x:f>
        <x:v>0</x:v>
      </x:c>
      <x:c r="N17" s="51" t="n">
        <x:f>J17*Inputs!$B$4*1000</x:f>
        <x:v>13367300.06973752</x:v>
      </x:c>
      <x:c r="O17" s="51" t="n">
        <x:f>K17*Inputs!$B$4*1000</x:f>
        <x:v>0</x:v>
      </x:c>
      <x:c r="P17" s="54" t="str">
        <x:v>https://data.nlr.gov/system/files/304/1767739491-UPV%202025Q1.txt</x:v>
      </x:c>
      <x:c r="Q17" s="18" t="str">
        <x:v>Sales tax, contingency, management, developer profit/residual; excluded from physical-damage denominator by default.</x:v>
      </x:c>
    </x:row>
  </x:sheetData>
  <x:pageMargins left="0.7" right="0.7" top="0.75" bottom="0.75" header="0.3" footer="0.3"/>
  <x:tableParts count="1">
    <x:tablePart xmlns:r="http://schemas.openxmlformats.org/officeDocument/2006/relationships" r:id="Ra689a2c84fcb45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.1299991607666" hidden="0" customWidth="1"/>
    <x:col min="3" max="3" width="21.3799991607666" hidden="0" customWidth="1"/>
    <x:col min="4" max="4" width="23.75" hidden="0" customWidth="1"/>
    <x:col min="5" max="5" width="16.5" hidden="0" customWidth="1"/>
    <x:col min="6" max="6" width="53.25" hidden="0" customWidth="1"/>
    <x:col min="7" max="7" width="70" hidden="0" customWidth="1"/>
  </x:cols>
  <x:sheetData>
    <x:row r="1">
      <x:c r="A1" s="13" t="str">
        <x:v>source_category</x:v>
      </x:c>
      <x:c r="B1" s="13" t="str">
        <x:v>raw_element</x:v>
      </x:c>
      <x:c r="C1" s="13" t="str">
        <x:v>mapped_subsystem</x:v>
      </x:c>
      <x:c r="D1" s="13" t="str">
        <x:v>mapped_component</x:v>
      </x:c>
      <x:c r="E1" s="13" t="str">
        <x:v>mmp_usd_per_kwdc</x:v>
      </x:c>
      <x:c r="F1" s="13" t="str">
        <x:v>source_url</x:v>
      </x:c>
      <x:c r="G1" s="13" t="str">
        <x:v>notes</x:v>
      </x:c>
    </x:row>
    <x:row r="2">
      <x:c r="A2" t="str">
        <x:v>Module</x:v>
      </x:c>
      <x:c r="B2" t="str">
        <x:v>Cells</x:v>
      </x:c>
      <x:c r="C2" t="str">
        <x:v>PV_ARRAY</x:v>
      </x:c>
      <x:c r="D2" t="str">
        <x:v>PV_MODULE</x:v>
      </x:c>
      <x:c r="E2" s="40" t="n">
        <x:v>106.06060606060608</x:v>
      </x:c>
      <x:c r="F2" s="54" t="str">
        <x:v>https://data.nlr.gov/system/files/304/1767739491-UPV%202025Q1.txt</x:v>
      </x:c>
      <x:c r="G2" s="18" t="str">
        <x:v>Cells from Southeast Asia; MMP cost from PVSCM</x:v>
      </x:c>
    </x:row>
    <x:row r="3">
      <x:c r="A3" t="str">
        <x:v>Module</x:v>
      </x:c>
      <x:c r="B3" t="str">
        <x:v>Frame</x:v>
      </x:c>
      <x:c r="C3" t="str">
        <x:v>PV_ARRAY</x:v>
      </x:c>
      <x:c r="D3" t="str">
        <x:v>PV_MODULE</x:v>
      </x:c>
      <x:c r="E3" s="40" t="n">
        <x:v>29.516534002722846</x:v>
      </x:c>
      <x:c r="F3" s="54" t="str">
        <x:v>https://data.nlr.gov/system/files/304/1767739491-UPV%202025Q1.txt</x:v>
      </x:c>
      <x:c r="G3" s="18" t="str">
        <x:v>Extruded aluminum frame; Section 301 tariff</x:v>
      </x:c>
    </x:row>
    <x:row r="4">
      <x:c r="A4" t="str">
        <x:v>Module</x:v>
      </x:c>
      <x:c r="B4" t="str">
        <x:v>Front Glass</x:v>
      </x:c>
      <x:c r="C4" t="str">
        <x:v>PV_ARRAY</x:v>
      </x:c>
      <x:c r="D4" t="str">
        <x:v>PV_MODULE</x:v>
      </x:c>
      <x:c r="E4" s="40" t="n">
        <x:v>22.148424888150913</x:v>
      </x:c>
      <x:c r="F4" s="54" t="str">
        <x:v>https://data.nlr.gov/system/files/304/1767739491-UPV%202025Q1.txt</x:v>
      </x:c>
      <x:c r="G4" s="18" t="str">
        <x:v>2 mm AR-coated glass</x:v>
      </x:c>
    </x:row>
    <x:row r="5">
      <x:c r="A5" t="str">
        <x:v>Module</x:v>
      </x:c>
      <x:c r="B5" t="str">
        <x:v>Back Glass</x:v>
      </x:c>
      <x:c r="C5" t="str">
        <x:v>PV_ARRAY</x:v>
      </x:c>
      <x:c r="D5" t="str">
        <x:v>PV_MODULE</x:v>
      </x:c>
      <x:c r="E5" s="40" t="n">
        <x:v>16.203127162031272</x:v>
      </x:c>
      <x:c r="F5" s="54" t="str">
        <x:v>https://data.nlr.gov/system/files/304/1767739491-UPV%202025Q1.txt</x:v>
      </x:c>
      <x:c r="G5" s="18" t="str">
        <x:v>2 mm back glass</x:v>
      </x:c>
    </x:row>
    <x:row r="6">
      <x:c r="A6" t="str">
        <x:v>Module</x:v>
      </x:c>
      <x:c r="B6" t="str">
        <x:v>Encapsulant</x:v>
      </x:c>
      <x:c r="C6" t="str">
        <x:v>PV_ARRAY</x:v>
      </x:c>
      <x:c r="D6" t="str">
        <x:v>PV_MODULE</x:v>
      </x:c>
      <x:c r="E6" s="40" t="n">
        <x:v>15.595452239287859</x:v>
      </x:c>
      <x:c r="F6" s="54" t="str">
        <x:v>https://data.nlr.gov/system/files/304/1767739491-UPV%202025Q1.txt</x:v>
      </x:c>
      <x:c r="G6" s="18" t="str">
        <x:v>Two layers POE; Section 301 tariff</x:v>
      </x:c>
    </x:row>
    <x:row r="7">
      <x:c r="A7" t="str">
        <x:v>Module</x:v>
      </x:c>
      <x:c r="B7" t="str">
        <x:v>Junction Box</x:v>
      </x:c>
      <x:c r="C7" t="str">
        <x:v>PV_ARRAY</x:v>
      </x:c>
      <x:c r="D7" t="str">
        <x:v>PV_MODULE</x:v>
      </x:c>
      <x:c r="E7" s="40" t="n">
        <x:v>6.276915907968136</x:v>
      </x:c>
      <x:c r="F7" s="54" t="str">
        <x:v>https://data.nlr.gov/system/files/304/1767739491-UPV%202025Q1.txt</x:v>
      </x:c>
      <x:c r="G7" s="18" t="str">
        <x:v>J-box with diodes; Section 301 tariff</x:v>
      </x:c>
    </x:row>
    <x:row r="8">
      <x:c r="A8" t="str">
        <x:v>Module</x:v>
      </x:c>
      <x:c r="B8" t="str">
        <x:v>Other Material</x:v>
      </x:c>
      <x:c r="C8" t="str">
        <x:v>PV_ARRAY</x:v>
      </x:c>
      <x:c r="D8" t="str">
        <x:v>PV_MODULE</x:v>
      </x:c>
      <x:c r="E8" s="40" t="n">
        <x:v>11.53925318829018</x:v>
      </x:c>
      <x:c r="F8" s="54" t="str">
        <x:v>https://data.nlr.gov/system/files/304/1767739491-UPV%202025Q1.txt</x:v>
      </x:c>
      <x:c r="G8" s="18" t="str">
        <x:v>Ribbons, edge seals, pottants; Section 301 tariff</x:v>
      </x:c>
    </x:row>
    <x:row r="9">
      <x:c r="A9" t="str">
        <x:v>Module</x:v>
      </x:c>
      <x:c r="B9" t="str">
        <x:v>Direct Labor</x:v>
      </x:c>
      <x:c r="C9" t="str">
        <x:v>PV_ARRAY</x:v>
      </x:c>
      <x:c r="D9" t="str">
        <x:v>PV_MODULE</x:v>
      </x:c>
      <x:c r="E9" s="40" t="n">
        <x:v>23.232876712328768</x:v>
      </x:c>
      <x:c r="F9" s="54" t="str">
        <x:v>https://data.nlr.gov/system/files/304/1767739491-UPV%202025Q1.txt</x:v>
      </x:c>
      <x:c r="G9" s="18" t="str">
        <x:v>Manufacturing line/material movement labor</x:v>
      </x:c>
    </x:row>
    <x:row r="10">
      <x:c r="A10" t="str">
        <x:v>Module</x:v>
      </x:c>
      <x:c r="B10" t="str">
        <x:v>Facilities Overhead</x:v>
      </x:c>
      <x:c r="C10" t="str">
        <x:v>PV_ARRAY</x:v>
      </x:c>
      <x:c r="D10" t="str">
        <x:v>PV_MODULE</x:v>
      </x:c>
      <x:c r="E10" s="40" t="n">
        <x:v>2.808219178082192</x:v>
      </x:c>
      <x:c r="F10" s="54" t="str">
        <x:v>https://data.nlr.gov/system/files/304/1767739491-UPV%202025Q1.txt</x:v>
      </x:c>
      <x:c r="G10" s="18" t="str">
        <x:v>Utilities and maintenance</x:v>
      </x:c>
    </x:row>
    <x:row r="11">
      <x:c r="A11" t="str">
        <x:v>Module</x:v>
      </x:c>
      <x:c r="B11" t="str">
        <x:v>Business Overhead</x:v>
      </x:c>
      <x:c r="C11" t="str">
        <x:v>PV_ARRAY</x:v>
      </x:c>
      <x:c r="D11" t="str">
        <x:v>PV_MODULE</x:v>
      </x:c>
      <x:c r="E11" s="40" t="n">
        <x:v>18.484</x:v>
      </x:c>
      <x:c r="F11" s="54" t="str">
        <x:v>https://data.nlr.gov/system/files/304/1767739491-UPV%202025Q1.txt</x:v>
      </x:c>
      <x:c r="G11" s="18" t="str">
        <x:v>Fixed salaried personnel plus variable overhead; warranty/insurance coverage</x:v>
      </x:c>
    </x:row>
    <x:row r="12">
      <x:c r="A12" t="str">
        <x:v>Module</x:v>
      </x:c>
      <x:c r="B12" t="str">
        <x:v>Depreciation</x:v>
      </x:c>
      <x:c r="C12" t="str">
        <x:v>PV_ARRAY</x:v>
      </x:c>
      <x:c r="D12" t="str">
        <x:v>PV_MODULE</x:v>
      </x:c>
      <x:c r="E12" s="40" t="n">
        <x:v>8.933779999999999</x:v>
      </x:c>
      <x:c r="F12" s="54" t="str">
        <x:v>https://data.nlr.gov/system/files/304/1767739491-UPV%202025Q1.txt</x:v>
      </x:c>
      <x:c r="G12" s="18" t="str">
        <x:v>Facility capex per annual kWdc * depreciation factor</x:v>
      </x:c>
    </x:row>
    <x:row r="13">
      <x:c r="A13" t="str">
        <x:v>Module</x:v>
      </x:c>
      <x:c r="B13" t="str">
        <x:v>Profit</x:v>
      </x:c>
      <x:c r="C13" t="str">
        <x:v>PV_ARRAY</x:v>
      </x:c>
      <x:c r="D13" t="str">
        <x:v>PV_MODULE</x:v>
      </x:c>
      <x:c r="E13" s="40" t="n">
        <x:v>89.89</x:v>
      </x:c>
      <x:c r="F13" s="54" t="str">
        <x:v>https://data.nlr.gov/system/files/304/1767739491-UPV%202025Q1.txt</x:v>
      </x:c>
      <x:c r="G13" s="18" t="str">
        <x:v>MMP profit adjusted to observed market price</x:v>
      </x:c>
    </x:row>
    <x:row r="14">
      <x:c r="A14" t="str">
        <x:v>Module</x:v>
      </x:c>
      <x:c r="B14" t="str">
        <x:v>Shipping</x:v>
      </x:c>
      <x:c r="C14" t="str">
        <x:v>PV_ARRAY</x:v>
      </x:c>
      <x:c r="D14" t="str">
        <x:v>PV_MODULE</x:v>
      </x:c>
      <x:c r="E14" s="40" t="n">
        <x:v>9.405662100456622</x:v>
      </x:c>
      <x:c r="F14" s="54" t="str">
        <x:v>https://data.nlr.gov/system/files/304/1767739491-UPV%202025Q1.txt</x:v>
      </x:c>
      <x:c r="G14" s="18" t="str">
        <x:v>Domestic shipping incl. packaging</x:v>
      </x:c>
    </x:row>
    <x:row r="15">
      <x:c r="A15" t="str">
        <x:v>Module</x:v>
      </x:c>
      <x:c r="B15" t="str">
        <x:v>Subsidy</x:v>
      </x:c>
      <x:c r="C15" t="str">
        <x:v>PV_ARRAY</x:v>
      </x:c>
      <x:c r="D15" t="str">
        <x:v>PV_MODULE</x:v>
      </x:c>
      <x:c r="E15" s="40" t="n">
        <x:v>-68.88</x:v>
      </x:c>
      <x:c r="F15" s="54" t="str">
        <x:v>https://data.nlr.gov/system/files/304/1767739491-UPV%202025Q1.txt</x:v>
      </x:c>
      <x:c r="G15" s="18" t="str">
        <x:v>45X MPTC tax credit for domestic modules</x:v>
      </x:c>
    </x:row>
    <x:row r="16">
      <x:c r="A16" t="str">
        <x:v>Inverter</x:v>
      </x:c>
      <x:c r="B16" t="str">
        <x:v>PCB assemblies</x:v>
      </x:c>
      <x:c r="C16" t="str">
        <x:v>INVERTER_SYSTEM</x:v>
      </x:c>
      <x:c r="D16" t="str">
        <x:v>INVERTER</x:v>
      </x:c>
      <x:c r="E16" s="40" t="n">
        <x:v>8.653701191014624</x:v>
      </x:c>
      <x:c r="F16" s="54" t="str">
        <x:v>https://data.nlr.gov/system/files/304/1767739491-UPV%202025Q1.txt</x:v>
      </x:c>
      <x:c r="G16" s="18" t="str">
        <x:v>Printed circuit board assemblies</x:v>
      </x:c>
    </x:row>
    <x:row r="17">
      <x:c r="A17" t="str">
        <x:v>Inverter</x:v>
      </x:c>
      <x:c r="B17" t="str">
        <x:v>Switching</x:v>
      </x:c>
      <x:c r="C17" t="str">
        <x:v>INVERTER_SYSTEM</x:v>
      </x:c>
      <x:c r="D17" t="str">
        <x:v>INVERTER</x:v>
      </x:c>
      <x:c r="E17" s="40" t="n">
        <x:v>2.2418211970450774</x:v>
      </x:c>
      <x:c r="F17" s="54" t="str">
        <x:v>https://data.nlr.gov/system/files/304/1767739491-UPV%202025Q1.txt</x:v>
      </x:c>
      <x:c r="G17" s="18" t="str">
        <x:v>IGBTs and main power switch device</x:v>
      </x:c>
    </x:row>
    <x:row r="18">
      <x:c r="A18" t="str">
        <x:v>Inverter</x:v>
      </x:c>
      <x:c r="B18" t="str">
        <x:v>Filtering</x:v>
      </x:c>
      <x:c r="C18" t="str">
        <x:v>INVERTER_SYSTEM</x:v>
      </x:c>
      <x:c r="D18" t="str">
        <x:v>INVERTER</x:v>
      </x:c>
      <x:c r="E18" s="40" t="n">
        <x:v>2.2297602894617823</x:v>
      </x:c>
      <x:c r="F18" s="54" t="str">
        <x:v>https://data.nlr.gov/system/files/304/1767739491-UPV%202025Q1.txt</x:v>
      </x:c>
      <x:c r="G18" s="18" t="str">
        <x:v>DC capacitors, inductors, sine wave filters</x:v>
      </x:c>
    </x:row>
    <x:row r="19">
      <x:c r="A19" t="str">
        <x:v>Inverter</x:v>
      </x:c>
      <x:c r="B19" t="str">
        <x:v>Other parts</x:v>
      </x:c>
      <x:c r="C19" t="str">
        <x:v>INVERTER_SYSTEM</x:v>
      </x:c>
      <x:c r="D19" t="str">
        <x:v>INVERTER</x:v>
      </x:c>
      <x:c r="E19" s="40" t="n">
        <x:v>0.9603497663199155</x:v>
      </x:c>
      <x:c r="F19" s="54" t="str">
        <x:v>https://data.nlr.gov/system/files/304/1767739491-UPV%202025Q1.txt</x:v>
      </x:c>
      <x:c r="G19" s="18" t="str">
        <x:v>Electrical controls, buswork and cables</x:v>
      </x:c>
    </x:row>
    <x:row r="20">
      <x:c r="A20" t="str">
        <x:v>Inverter</x:v>
      </x:c>
      <x:c r="B20" t="str">
        <x:v>Climate control</x:v>
      </x:c>
      <x:c r="C20" t="str">
        <x:v>INVERTER_SYSTEM</x:v>
      </x:c>
      <x:c r="D20" t="str">
        <x:v>INVERTER</x:v>
      </x:c>
      <x:c r="E20" s="40" t="n">
        <x:v>3.146389265792251</x:v>
      </x:c>
      <x:c r="F20" s="54" t="str">
        <x:v>https://data.nlr.gov/system/files/304/1767739491-UPV%202025Q1.txt</x:v>
      </x:c>
      <x:c r="G20" s="18" t="str">
        <x:v>Liquid cooling/chillers</x:v>
      </x:c>
    </x:row>
    <x:row r="21">
      <x:c r="A21" t="str">
        <x:v>Inverter</x:v>
      </x:c>
      <x:c r="B21" t="str">
        <x:v>Enclosure</x:v>
      </x:c>
      <x:c r="C21" t="str">
        <x:v>INVERTER_SYSTEM</x:v>
      </x:c>
      <x:c r="D21" t="str">
        <x:v>INVERTER</x:v>
      </x:c>
      <x:c r="E21" s="40" t="n">
        <x:v>2.9843208201417157</x:v>
      </x:c>
      <x:c r="F21" s="54" t="str">
        <x:v>https://data.nlr.gov/system/files/304/1767739491-UPV%202025Q1.txt</x:v>
      </x:c>
      <x:c r="G21" s="18" t="str">
        <x:v>Steel cabinet</x:v>
      </x:c>
    </x:row>
    <x:row r="22">
      <x:c r="A22" t="str">
        <x:v>Inverter</x:v>
      </x:c>
      <x:c r="B22" t="str">
        <x:v>Direct labor</x:v>
      </x:c>
      <x:c r="C22" t="str">
        <x:v>INVERTER_SYSTEM</x:v>
      </x:c>
      <x:c r="D22" t="str">
        <x:v>INVERTER</x:v>
      </x:c>
      <x:c r="E22" s="40" t="n">
        <x:v>1.3776119402985074</x:v>
      </x:c>
      <x:c r="F22" s="54" t="str">
        <x:v>https://data.nlr.gov/system/files/304/1767739491-UPV%202025Q1.txt</x:v>
      </x:c>
      <x:c r="G22" s="18" t="str">
        <x:v>Manufacturing labor</x:v>
      </x:c>
    </x:row>
    <x:row r="23">
      <x:c r="A23" t="str">
        <x:v>Inverter</x:v>
      </x:c>
      <x:c r="B23" t="str">
        <x:v>Facilities overhead</x:v>
      </x:c>
      <x:c r="C23" t="str">
        <x:v>INVERTER_SYSTEM</x:v>
      </x:c>
      <x:c r="D23" t="str">
        <x:v>INVERTER</x:v>
      </x:c>
      <x:c r="E23" s="40" t="n">
        <x:v>0.217910447761194</x:v>
      </x:c>
      <x:c r="F23" s="54" t="str">
        <x:v>https://data.nlr.gov/system/files/304/1767739491-UPV%202025Q1.txt</x:v>
      </x:c>
      <x:c r="G23" s="18" t="str">
        <x:v>Utilities and maintenance</x:v>
      </x:c>
    </x:row>
    <x:row r="24">
      <x:c r="A24" t="str">
        <x:v>Inverter</x:v>
      </x:c>
      <x:c r="B24" t="str">
        <x:v>Business overhead</x:v>
      </x:c>
      <x:c r="C24" t="str">
        <x:v>INVERTER_SYSTEM</x:v>
      </x:c>
      <x:c r="D24" t="str">
        <x:v>INVERTER</x:v>
      </x:c>
      <x:c r="E24" s="40" t="n">
        <x:v>4.865671641791045</x:v>
      </x:c>
      <x:c r="F24" s="54" t="str">
        <x:v>https://data.nlr.gov/system/files/304/1767739491-UPV%202025Q1.txt</x:v>
      </x:c>
      <x:c r="G24" s="18" t="str">
        <x:v>Fixed salaried personnel + variable overhead</x:v>
      </x:c>
    </x:row>
    <x:row r="25">
      <x:c r="A25" t="str">
        <x:v>Inverter</x:v>
      </x:c>
      <x:c r="B25" t="str">
        <x:v>Depreciation</x:v>
      </x:c>
      <x:c r="C25" t="str">
        <x:v>INVERTER_SYSTEM</x:v>
      </x:c>
      <x:c r="D25" t="str">
        <x:v>INVERTER</x:v>
      </x:c>
      <x:c r="E25" s="40" t="n">
        <x:v>0.7096731343283581</x:v>
      </x:c>
      <x:c r="F25" s="54" t="str">
        <x:v>https://data.nlr.gov/system/files/304/1767739491-UPV%202025Q1.txt</x:v>
      </x:c>
      <x:c r="G25" s="18" t="str">
        <x:v>Facility capex per annual kWac * depreciation</x:v>
      </x:c>
    </x:row>
    <x:row r="26">
      <x:c r="A26" t="str">
        <x:v>Inverter</x:v>
      </x:c>
      <x:c r="B26" t="str">
        <x:v>Profit</x:v>
      </x:c>
      <x:c r="C26" t="str">
        <x:v>INVERTER_SYSTEM</x:v>
      </x:c>
      <x:c r="D26" t="str">
        <x:v>INVERTER</x:v>
      </x:c>
      <x:c r="E26" s="40" t="n">
        <x:v>3.326865671641791</x:v>
      </x:c>
      <x:c r="F26" s="54" t="str">
        <x:v>https://data.nlr.gov/system/files/304/1767739491-UPV%202025Q1.txt</x:v>
      </x:c>
      <x:c r="G26" s="18" t="str">
        <x:v>MMP profit adjusted</x:v>
      </x:c>
    </x:row>
    <x:row r="27">
      <x:c r="A27" t="str">
        <x:v>Inverter</x:v>
      </x:c>
      <x:c r="B27" t="str">
        <x:v>Shipping</x:v>
      </x:c>
      <x:c r="C27" t="str">
        <x:v>INVERTER_SYSTEM</x:v>
      </x:c>
      <x:c r="D27" t="str">
        <x:v>INVERTER</x:v>
      </x:c>
      <x:c r="E27" s="40" t="n">
        <x:v>1.5922910447761194</x:v>
      </x:c>
      <x:c r="F27" s="54" t="str">
        <x:v>https://data.nlr.gov/system/files/304/1767739491-UPV%202025Q1.txt</x:v>
      </x:c>
      <x:c r="G27" s="18" t="str">
        <x:v>Domestic shipping incl. packaging</x:v>
      </x:c>
    </x:row>
    <x:row r="28">
      <x:c r="A28" t="str">
        <x:v>SBOS</x:v>
      </x:c>
      <x:c r="B28" t="str">
        <x:v>Torque tubes</x:v>
      </x:c>
      <x:c r="C28" t="str">
        <x:v>MOUNTING</x:v>
      </x:c>
      <x:c r="D28" t="str">
        <x:v>RACKING_STRUCTURE</x:v>
      </x:c>
      <x:c r="E28" s="40" t="n">
        <x:v>33.97260273972603</x:v>
      </x:c>
      <x:c r="F28" s="54" t="str">
        <x:v>https://data.nlr.gov/system/files/304/1767739491-UPV%202025Q1.txt</x:v>
      </x:c>
      <x:c r="G28" s="18" t="str">
        <x:v>single-axis tracker torque tubes</x:v>
      </x:c>
    </x:row>
    <x:row r="29">
      <x:c r="A29" t="str">
        <x:v>SBOS</x:v>
      </x:c>
      <x:c r="B29" t="str">
        <x:v>Driven piers</x:v>
      </x:c>
      <x:c r="C29" t="str">
        <x:v>FOUNDATION</x:v>
      </x:c>
      <x:c r="D29" t="str">
        <x:v>FOUNDATION_BASE</x:v>
      </x:c>
      <x:c r="E29" s="40" t="n">
        <x:v>25.95433789954338</x:v>
      </x:c>
      <x:c r="F29" s="54" t="str">
        <x:v>https://data.nlr.gov/system/files/304/1767739491-UPV%202025Q1.txt</x:v>
      </x:c>
      <x:c r="G29" s="18" t="str">
        <x:v>driven steel piles/piers</x:v>
      </x:c>
    </x:row>
    <x:row r="30">
      <x:c r="A30" t="str">
        <x:v>SBOS</x:v>
      </x:c>
      <x:c r="B30" t="str">
        <x:v>Module rails</x:v>
      </x:c>
      <x:c r="C30" t="str">
        <x:v>MOUNTING</x:v>
      </x:c>
      <x:c r="D30" t="str">
        <x:v>RACKING_STRUCTURE</x:v>
      </x:c>
      <x:c r="E30" s="40" t="n">
        <x:v>10.58904109589041</x:v>
      </x:c>
      <x:c r="F30" s="54" t="str">
        <x:v>https://data.nlr.gov/system/files/304/1767739491-UPV%202025Q1.txt</x:v>
      </x:c>
      <x:c r="G30" s="18" t="str">
        <x:v>module rails</x:v>
      </x:c>
    </x:row>
    <x:row r="31">
      <x:c r="A31" t="str">
        <x:v>SBOS</x:v>
      </x:c>
      <x:c r="B31" t="str">
        <x:v>Structural fasteners</x:v>
      </x:c>
      <x:c r="C31" t="str">
        <x:v>MOUNTING</x:v>
      </x:c>
      <x:c r="D31" t="str">
        <x:v>RACKING_STRUCTURE</x:v>
      </x:c>
      <x:c r="E31" s="40" t="n">
        <x:v>4.8675799086758</x:v>
      </x:c>
      <x:c r="F31" s="54" t="str">
        <x:v>https://data.nlr.gov/system/files/304/1767739491-UPV%202025Q1.txt</x:v>
      </x:c>
      <x:c r="G31" s="18" t="str">
        <x:v>structural fasteners</x:v>
      </x:c>
    </x:row>
    <x:row r="32">
      <x:c r="A32" t="str">
        <x:v>SBOS</x:v>
      </x:c>
      <x:c r="B32" t="str">
        <x:v>Other fasteners</x:v>
      </x:c>
      <x:c r="C32" t="str">
        <x:v>MOUNTING</x:v>
      </x:c>
      <x:c r="D32" t="str">
        <x:v>RACKING_STRUCTURE</x:v>
      </x:c>
      <x:c r="E32" s="40" t="n">
        <x:v>2.0776255707762554</x:v>
      </x:c>
      <x:c r="F32" s="54" t="str">
        <x:v>https://data.nlr.gov/system/files/304/1767739491-UPV%202025Q1.txt</x:v>
      </x:c>
      <x:c r="G32" s="18" t="str">
        <x:v>other fasteners; Section 301 tariff</x:v>
      </x:c>
    </x:row>
    <x:row r="33">
      <x:c r="A33" t="str">
        <x:v>SBOS</x:v>
      </x:c>
      <x:c r="B33" t="str">
        <x:v>Drive system</x:v>
      </x:c>
      <x:c r="C33" t="str">
        <x:v>MOUNTING</x:v>
      </x:c>
      <x:c r="D33" t="str">
        <x:v>TRACKER</x:v>
      </x:c>
      <x:c r="E33" s="40" t="n">
        <x:v>16.552511415525114</x:v>
      </x:c>
      <x:c r="F33" s="54" t="str">
        <x:v>https://data.nlr.gov/system/files/304/1767739491-UPV%202025Q1.txt</x:v>
      </x:c>
      <x:c r="G33" s="18" t="str">
        <x:v>tracker drive system</x:v>
      </x:c>
    </x:row>
    <x:row r="34">
      <x:c r="A34" t="str">
        <x:v>SBOS</x:v>
      </x:c>
      <x:c r="B34" t="str">
        <x:v>Actuators</x:v>
      </x:c>
      <x:c r="C34" t="str">
        <x:v>MOUNTING</x:v>
      </x:c>
      <x:c r="D34" t="str">
        <x:v>TRACKER</x:v>
      </x:c>
      <x:c r="E34" s="40" t="n">
        <x:v>14.954337899543379</x:v>
      </x:c>
      <x:c r="F34" s="54" t="str">
        <x:v>https://data.nlr.gov/system/files/304/1767739491-UPV%202025Q1.txt</x:v>
      </x:c>
      <x:c r="G34" s="18" t="str">
        <x:v>tracker actuators</x:v>
      </x:c>
    </x:row>
    <x:row r="35">
      <x:c r="A35" t="str">
        <x:v>SBOS</x:v>
      </x:c>
      <x:c r="B35" t="str">
        <x:v>Controllers</x:v>
      </x:c>
      <x:c r="C35" t="str">
        <x:v>MOUNTING</x:v>
      </x:c>
      <x:c r="D35" t="str">
        <x:v>TRACKER</x:v>
      </x:c>
      <x:c r="E35" s="40" t="n">
        <x:v>8.374429223744293</x:v>
      </x:c>
      <x:c r="F35" s="54" t="str">
        <x:v>https://data.nlr.gov/system/files/304/1767739491-UPV%202025Q1.txt</x:v>
      </x:c>
      <x:c r="G35" s="18" t="str">
        <x:v>tracker controllers</x:v>
      </x:c>
    </x:row>
    <x:row r="36">
      <x:c r="A36" t="str">
        <x:v>SBOS</x:v>
      </x:c>
      <x:c r="B36" t="str">
        <x:v>Dampers</x:v>
      </x:c>
      <x:c r="C36" t="str">
        <x:v>MOUNTING</x:v>
      </x:c>
      <x:c r="D36" t="str">
        <x:v>TRACKER</x:v>
      </x:c>
      <x:c r="E36" s="40" t="n">
        <x:v>8.099315068493151</x:v>
      </x:c>
      <x:c r="F36" s="54" t="str">
        <x:v>https://data.nlr.gov/system/files/304/1767739491-UPV%202025Q1.txt</x:v>
      </x:c>
      <x:c r="G36" s="18" t="str">
        <x:v>tracker dampers; Section 301 tariff</x:v>
      </x:c>
    </x:row>
    <x:row r="37">
      <x:c r="A37" t="str">
        <x:v>SBOS</x:v>
      </x:c>
      <x:c r="B37" t="str">
        <x:v>EBOS pad</x:v>
      </x:c>
      <x:c r="C37" t="str">
        <x:v>FOUNDATION</x:v>
      </x:c>
      <x:c r="D37" t="str">
        <x:v>FOUNDATION_BASE</x:v>
      </x:c>
      <x:c r="E37" s="40" t="n">
        <x:v>5.170149253731343</x:v>
      </x:c>
      <x:c r="F37" s="54" t="str">
        <x:v>https://data.nlr.gov/system/files/304/1767739491-UPV%202025Q1.txt</x:v>
      </x:c>
      <x:c r="G37" s="18" t="str">
        <x:v>pad for inverter/EBOS; 50 kWac/m2</x:v>
      </x:c>
    </x:row>
    <x:row r="38">
      <x:c r="A38" t="str">
        <x:v>SBOS</x:v>
      </x:c>
      <x:c r="B38" t="str">
        <x:v>Shipping</x:v>
      </x:c>
      <x:c r="C38" t="str">
        <x:v>MOUNTING</x:v>
      </x:c>
      <x:c r="D38" t="str">
        <x:v>RACKING_STRUCTURE</x:v>
      </x:c>
      <x:c r="E38" s="40" t="n">
        <x:v>10.502283105022832</x:v>
      </x:c>
      <x:c r="F38" s="54" t="str">
        <x:v>https://data.nlr.gov/system/files/304/1767739491-UPV%202025Q1.txt</x:v>
      </x:c>
      <x:c r="G38" s="18" t="str">
        <x:v>domestic shipping; 10 kg/m2</x:v>
      </x:c>
    </x:row>
    <x:row r="39">
      <x:c r="A39" t="str">
        <x:v>EBOS</x:v>
      </x:c>
      <x:c r="B39" t="str">
        <x:v>Transformer(s)</x:v>
      </x:c>
      <x:c r="C39" t="str">
        <x:v>SUBSTATION</x:v>
      </x:c>
      <x:c r="D39" t="str">
        <x:v>TRANSFORMER_MAIN</x:v>
      </x:c>
      <x:c r="E39" s="40" t="n">
        <x:v>38.11940298507462</x:v>
      </x:c>
      <x:c r="F39" s="54" t="str">
        <x:v>https://data.nlr.gov/system/files/304/1767739491-UPV%202025Q1.txt</x:v>
      </x:c>
      <x:c r="G39" s="18" t="str">
        <x:v>51.08 $/kWac / ILR</x:v>
      </x:c>
    </x:row>
    <x:row r="40">
      <x:c r="A40" t="str">
        <x:v>EBOS</x:v>
      </x:c>
      <x:c r="B40" t="str">
        <x:v>Switches</x:v>
      </x:c>
      <x:c r="C40" t="str">
        <x:v>SUBSTATION</x:v>
      </x:c>
      <x:c r="D40" t="str">
        <x:v>SWITCHGEAR</x:v>
      </x:c>
      <x:c r="E40" s="40" t="n">
        <x:v>4.374067164179104</x:v>
      </x:c>
      <x:c r="F40" s="54" t="str">
        <x:v>https://data.nlr.gov/system/files/304/1767739491-UPV%202025Q1.txt</x:v>
      </x:c>
      <x:c r="G40" s="18" t="str">
        <x:v>switchgear, $/kWac / ILR with Section 301 tariff</x:v>
      </x:c>
    </x:row>
    <x:row r="41">
      <x:c r="A41" t="str">
        <x:v>EBOS</x:v>
      </x:c>
      <x:c r="B41" t="str">
        <x:v>Breakers</x:v>
      </x:c>
      <x:c r="C41" t="str">
        <x:v>SUBSTATION</x:v>
      </x:c>
      <x:c r="D41" t="str">
        <x:v>SWITCHGEAR</x:v>
      </x:c>
      <x:c r="E41" s="40" t="n">
        <x:v>11.222014925373134</x:v>
      </x:c>
      <x:c r="F41" s="54" t="str">
        <x:v>https://data.nlr.gov/system/files/304/1767739491-UPV%202025Q1.txt</x:v>
      </x:c>
      <x:c r="G41" s="18" t="str">
        <x:v>breakers, $/kWac / ILR with Section 301 tariff</x:v>
      </x:c>
    </x:row>
    <x:row r="42">
      <x:c r="A42" t="str">
        <x:v>EBOS</x:v>
      </x:c>
      <x:c r="B42" t="str">
        <x:v>Conductors</x:v>
      </x:c>
      <x:c r="C42" t="str">
        <x:v>ELECTRICAL_COLLECTION</x:v>
      </x:c>
      <x:c r="D42" t="str">
        <x:v>CABLE_AC_DC</x:v>
      </x:c>
      <x:c r="E42" s="40" t="n">
        <x:v>37.5125</x:v>
      </x:c>
      <x:c r="F42" s="54" t="str">
        <x:v>https://data.nlr.gov/system/files/304/1767739491-UPV%202025Q1.txt</x:v>
      </x:c>
      <x:c r="G42" s="18" t="str">
        <x:v>DC and AC cables; tariff</x:v>
      </x:c>
    </x:row>
    <x:row r="43">
      <x:c r="A43" t="str">
        <x:v>EBOS</x:v>
      </x:c>
      <x:c r="B43" t="str">
        <x:v>Combiner boxes</x:v>
      </x:c>
      <x:c r="C43" t="str">
        <x:v>INVERTER_SYSTEM</x:v>
      </x:c>
      <x:c r="D43" t="str">
        <x:v>COMBINER_BOX</x:v>
      </x:c>
      <x:c r="E43" s="40" t="n">
        <x:v>6.82625</x:v>
      </x:c>
      <x:c r="F43" s="54" t="str">
        <x:v>https://data.nlr.gov/system/files/304/1767739491-UPV%202025Q1.txt</x:v>
      </x:c>
      <x:c r="G43" s="18" t="str">
        <x:v>1500V combiner box; tariff</x:v>
      </x:c>
    </x:row>
    <x:row r="44">
      <x:c r="A44" t="str">
        <x:v>EBOS</x:v>
      </x:c>
      <x:c r="B44" t="str">
        <x:v>Grounding</x:v>
      </x:c>
      <x:c r="C44" t="str">
        <x:v>GROUNDING_LIGHTNING</x:v>
      </x:c>
      <x:c r="D44" t="str">
        <x:v>GROUNDING_GRID</x:v>
      </x:c>
      <x:c r="E44" s="40" t="n">
        <x:v>8.385</x:v>
      </x:c>
      <x:c r="F44" s="54" t="str">
        <x:v>https://data.nlr.gov/system/files/304/1767739491-UPV%202025Q1.txt</x:v>
      </x:c>
      <x:c r="G44" s="18" t="str">
        <x:v>earthing cables and lightning rods; tariff</x:v>
      </x:c>
    </x:row>
    <x:row r="45">
      <x:c r="A45" t="str">
        <x:v>EBOS</x:v>
      </x:c>
      <x:c r="B45" t="str">
        <x:v>Substation</x:v>
      </x:c>
      <x:c r="C45" t="str">
        <x:v>SUBSTATION</x:v>
      </x:c>
      <x:c r="D45" t="str">
        <x:v>SUBSTATION_ROLLUP</x:v>
      </x:c>
      <x:c r="E45" s="40" t="n">
        <x:v>52.78917910447762</x:v>
      </x:c>
      <x:c r="F45" s="54" t="str">
        <x:v>https://data.nlr.gov/system/files/304/1767739491-UPV%202025Q1.txt</x:v>
      </x:c>
      <x:c r="G45" s="18" t="str">
        <x:v>34.5kV to 115kV substation; tariff</x:v>
      </x:c>
    </x:row>
    <x:row r="46">
      <x:c r="A46" t="str">
        <x:v>EBOS</x:v>
      </x:c>
      <x:c r="B46" t="str">
        <x:v>System monitor</x:v>
      </x:c>
      <x:c r="C46" t="str">
        <x:v>SCADA</x:v>
      </x:c>
      <x:c r="D46" t="str">
        <x:v>MONITORING_SYSTEM</x:v>
      </x:c>
      <x:c r="E46" s="40" t="n">
        <x:v>1.31</x:v>
      </x:c>
      <x:c r="F46" s="54" t="str">
        <x:v>https://data.nlr.gov/system/files/304/1767739491-UPV%202025Q1.txt</x:v>
      </x:c>
      <x:c r="G46" s="18" t="str">
        <x:v>fixed system monitor / 100MWdc</x:v>
      </x:c>
    </x:row>
    <x:row r="47">
      <x:c r="A47" t="str">
        <x:v>EBOS</x:v>
      </x:c>
      <x:c r="B47" t="str">
        <x:v>Transmission line</x:v>
      </x:c>
      <x:c r="C47" t="str">
        <x:v>ELECTRICAL_COLLECTION</x:v>
      </x:c>
      <x:c r="D47" t="str">
        <x:v>CABLE_AC</x:v>
      </x:c>
      <x:c r="E47" s="40" t="n">
        <x:v>30.128507462686564</x:v>
      </x:c>
      <x:c r="F47" s="54" t="str">
        <x:v>https://data.nlr.gov/system/files/304/1767739491-UPV%202025Q1.txt</x:v>
      </x:c>
      <x:c r="G47" s="18" t="str">
        <x:v>2.4-mile line with poles, towers, cables</x:v>
      </x:c>
    </x:row>
    <x:row r="48">
      <x:c r="A48" t="str">
        <x:v>EBOS</x:v>
      </x:c>
      <x:c r="B48" t="str">
        <x:v>Network upgrade</x:v>
      </x:c>
      <x:c r="C48" t="str">
        <x:v>SUNK_SOFT_NONPHYSICAL</x:v>
      </x:c>
      <x:c r="D48" t="str">
        <x:v>NETWORK_UPGRADE</x:v>
      </x:c>
      <x:c r="E48" s="40" t="n">
        <x:v>38.253731343283576</x:v>
      </x:c>
      <x:c r="F48" s="54" t="str">
        <x:v>https://data.nlr.gov/system/files/304/1767739491-UPV%202025Q1.txt</x:v>
      </x:c>
      <x:c r="G48" s="18" t="str">
        <x:v>broad grid network upgrade at interconnection point; excluded from physical base</x:v>
      </x:c>
    </x:row>
    <x:row r="49">
      <x:c r="A49" t="str">
        <x:v>EBOS</x:v>
      </x:c>
      <x:c r="B49" t="str">
        <x:v>EBOS shipping</x:v>
      </x:c>
      <x:c r="C49" t="str">
        <x:v>ELECTRICAL_COLLECTION</x:v>
      </x:c>
      <x:c r="D49" t="str">
        <x:v>ELECTRICAL_SHIPPING</x:v>
      </x:c>
      <x:c r="E49" s="40" t="n">
        <x:v>1.6791044776119401</x:v>
      </x:c>
      <x:c r="F49" s="54" t="str">
        <x:v>https://data.nlr.gov/system/files/304/1767739491-UPV%202025Q1.txt</x:v>
      </x:c>
      <x:c r="G49" s="18" t="str">
        <x:v>shipping; EBOSweight=2 kg/kWac</x:v>
      </x:c>
    </x:row>
    <x:row r="50">
      <x:c r="A50" t="str">
        <x:v>Fieldwork</x:v>
      </x:c>
      <x:c r="B50" t="str">
        <x:v>SBOS Labor</x:v>
      </x:c>
      <x:c r="C50" t="str">
        <x:v>MOUNTING</x:v>
      </x:c>
      <x:c r="D50" t="str">
        <x:v>MOUNTING</x:v>
      </x:c>
      <x:c r="E50" s="40" t="n">
        <x:v>43.273972602739725</x:v>
      </x:c>
      <x:c r="F50" s="54" t="str">
        <x:v>https://data.nlr.gov/system/files/304/1767739491-UPV%202025Q1.txt</x:v>
      </x:c>
      <x:c r="G50" s="18" t="str">
        <x:v>site prep, staging, install piers, torque tubes, tracking components, modules</x:v>
      </x:c>
    </x:row>
    <x:row r="51">
      <x:c r="A51" t="str">
        <x:v>Fieldwork</x:v>
      </x:c>
      <x:c r="B51" t="str">
        <x:v>EBOS Labor</x:v>
      </x:c>
      <x:c r="C51" t="str">
        <x:v>ELECTRICAL_COLLECTION</x:v>
      </x:c>
      <x:c r="D51" t="str">
        <x:v>ELECTRICAL_COLLECTION</x:v>
      </x:c>
      <x:c r="E51" s="40" t="n">
        <x:v>39.447761194029844</x:v>
      </x:c>
      <x:c r="F51" s="54" t="str">
        <x:v>https://data.nlr.gov/system/files/304/1767739491-UPV%202025Q1.txt</x:v>
      </x:c>
      <x:c r="G51" s="18" t="str">
        <x:v>inverter installation, trenching, DC/AC cable runs, SCADA setup</x:v>
      </x:c>
    </x:row>
    <x:row r="52">
      <x:c r="A52" t="str">
        <x:v>Fieldwork</x:v>
      </x:c>
      <x:c r="B52" t="str">
        <x:v>Site Management</x:v>
      </x:c>
      <x:c r="C52" t="str">
        <x:v>REPLACEMENT_FIELDWORK</x:v>
      </x:c>
      <x:c r="D52" t="str">
        <x:v>REPLACEMENT_FIELDWORK</x:v>
      </x:c>
      <x:c r="E52" s="40" t="n">
        <x:v>48.11534246575343</x:v>
      </x:c>
      <x:c r="F52" s="54" t="str">
        <x:v>https://data.nlr.gov/system/files/304/1767739491-UPV%202025Q1.txt</x:v>
      </x:c>
      <x:c r="G52" s="18" t="str">
        <x:v>on-site management fixed + variable</x:v>
      </x:c>
    </x:row>
    <x:row r="53">
      <x:c r="A53" t="str">
        <x:v>Fieldwork</x:v>
      </x:c>
      <x:c r="B53" t="str">
        <x:v>Site Prep</x:v>
      </x:c>
      <x:c r="C53" t="str">
        <x:v>CIVIL_INFRA</x:v>
      </x:c>
      <x:c r="D53" t="str">
        <x:v>CIVIL_INFRA</x:v>
      </x:c>
      <x:c r="E53" s="40" t="n">
        <x:v>31.223744292237445</x:v>
      </x:c>
      <x:c r="F53" s="54" t="str">
        <x:v>https://data.nlr.gov/system/files/304/1767739491-UPV%202025Q1.txt</x:v>
      </x:c>
      <x:c r="G53" s="18" t="str">
        <x:v>grading, fencing, access roads, maintenance buildings</x:v>
      </x:c>
    </x:row>
    <x:row r="54">
      <x:c r="A54" t="str">
        <x:v>Fieldwork</x:v>
      </x:c>
      <x:c r="B54" t="str">
        <x:v>Equipment Rental</x:v>
      </x:c>
      <x:c r="C54" t="str">
        <x:v>REPLACEMENT_FIELDWORK</x:v>
      </x:c>
      <x:c r="D54" t="str">
        <x:v>REPLACEMENT_FIELDWORK</x:v>
      </x:c>
      <x:c r="E54" s="40" t="n">
        <x:v>52.42009132420092</x:v>
      </x:c>
      <x:c r="F54" s="54" t="str">
        <x:v>https://data.nlr.gov/system/files/304/1767739491-UPV%202025Q1.txt</x:v>
      </x:c>
      <x:c r="G54" s="18" t="str">
        <x:v>equipment and tools for on-site labor</x:v>
      </x:c>
    </x:row>
    <x:row r="55">
      <x:c r="A55" t="str">
        <x:v>Fieldwork</x:v>
      </x:c>
      <x:c r="B55" t="str">
        <x:v>Inspection</x:v>
      </x:c>
      <x:c r="C55" t="str">
        <x:v>REPLACEMENT_FIELDWORK</x:v>
      </x:c>
      <x:c r="D55" t="str">
        <x:v>REPLACEMENT_FIELDWORK</x:v>
      </x:c>
      <x:c r="E55" s="40" t="n">
        <x:v>6.333333333333333</x:v>
      </x:c>
      <x:c r="F55" s="54" t="str">
        <x:v>https://data.nlr.gov/system/files/304/1767739491-UPV%202025Q1.txt</x:v>
      </x:c>
      <x:c r="G55" s="18" t="str">
        <x:v>permit compliance confirmation support</x:v>
      </x:c>
    </x:row>
    <x:row r="56">
      <x:c r="A56" t="str">
        <x:v>Officework</x:v>
      </x:c>
      <x:c r="B56" t="str">
        <x:v>Warehousing</x:v>
      </x:c>
      <x:c r="C56" t="str">
        <x:v>SUNK_SOFT_NONPHYSICAL</x:v>
      </x:c>
      <x:c r="D56" t="str">
        <x:v>WAREHOUSING</x:v>
      </x:c>
      <x:c r="E56" s="40" t="n">
        <x:v>4.76255707762557</x:v>
      </x:c>
      <x:c r="F56" s="54" t="str">
        <x:v>https://data.nlr.gov/system/files/304/1767739491-UPV%202025Q1.txt</x:v>
      </x:c>
      <x:c r="G56" s="18" t="str">
        <x:v>material/equipment storage, handling, transport</x:v>
      </x:c>
    </x:row>
    <x:row r="57">
      <x:c r="A57" t="str">
        <x:v>Officework</x:v>
      </x:c>
      <x:c r="B57" t="str">
        <x:v>Logistics</x:v>
      </x:c>
      <x:c r="C57" t="str">
        <x:v>SUNK_SOFT_NONPHYSICAL</x:v>
      </x:c>
      <x:c r="D57" t="str">
        <x:v>LOGISTICS</x:v>
      </x:c>
      <x:c r="E57" s="40" t="n">
        <x:v>1.7613150684931507</x:v>
      </x:c>
      <x:c r="F57" s="54" t="str">
        <x:v>https://data.nlr.gov/system/files/304/1767739491-UPV%202025Q1.txt</x:v>
      </x:c>
      <x:c r="G57" s="18" t="str">
        <x:v>inventory management fixed + variable</x:v>
      </x:c>
    </x:row>
    <x:row r="58">
      <x:c r="A58" t="str">
        <x:v>Officework</x:v>
      </x:c>
      <x:c r="B58" t="str">
        <x:v>Engineering</x:v>
      </x:c>
      <x:c r="C58" t="str">
        <x:v>SUNK_SOFT_NONPHYSICAL</x:v>
      </x:c>
      <x:c r="D58" t="str">
        <x:v>ENGINEERING</x:v>
      </x:c>
      <x:c r="E58" s="40" t="n">
        <x:v>13.110200913242009</x:v>
      </x:c>
      <x:c r="F58" s="54" t="str">
        <x:v>https://data.nlr.gov/system/files/304/1767739491-UPV%202025Q1.txt</x:v>
      </x:c>
      <x:c r="G58" s="18" t="str">
        <x:v>engineering salaries fixed + variable</x:v>
      </x:c>
    </x:row>
    <x:row r="59">
      <x:c r="A59" t="str">
        <x:v>Officework</x:v>
      </x:c>
      <x:c r="B59" t="str">
        <x:v>Permits</x:v>
      </x:c>
      <x:c r="C59" t="str">
        <x:v>SUNK_SOFT_NONPHYSICAL</x:v>
      </x:c>
      <x:c r="D59" t="str">
        <x:v>PERMITS</x:v>
      </x:c>
      <x:c r="E59" s="40" t="n">
        <x:v>4.271462686567164</x:v>
      </x:c>
      <x:c r="F59" s="54" t="str">
        <x:v>https://data.nlr.gov/system/files/304/1767739491-UPV%202025Q1.txt</x:v>
      </x:c>
      <x:c r="G59" s="18" t="str">
        <x:v>permit application fee fixed + variable</x:v>
      </x:c>
    </x:row>
    <x:row r="60">
      <x:c r="A60" t="str">
        <x:v>Officework</x:v>
      </x:c>
      <x:c r="B60" t="str">
        <x:v>Interconnect</x:v>
      </x:c>
      <x:c r="C60" t="str">
        <x:v>SUNK_SOFT_NONPHYSICAL</x:v>
      </x:c>
      <x:c r="D60" t="str">
        <x:v>INTERCONNECT</x:v>
      </x:c>
      <x:c r="E60" s="40" t="n">
        <x:v>43.57462686567164</x:v>
      </x:c>
      <x:c r="F60" s="54" t="str">
        <x:v>https://data.nlr.gov/system/files/304/1767739491-UPV%202025Q1.txt</x:v>
      </x:c>
      <x:c r="G60" s="18" t="str">
        <x:v>utility engagement; excludes network upgrade equipment</x:v>
      </x:c>
    </x:row>
    <x:row r="61">
      <x:c r="A61" t="str">
        <x:v>Officework</x:v>
      </x:c>
      <x:c r="B61" t="str">
        <x:v>Outreach</x:v>
      </x:c>
      <x:c r="C61" t="str">
        <x:v>SUNK_SOFT_NONPHYSICAL</x:v>
      </x:c>
      <x:c r="D61" t="str">
        <x:v>OUTREACH</x:v>
      </x:c>
      <x:c r="E61" s="40" t="n">
        <x:v>2.7974029850746267</x:v>
      </x:c>
      <x:c r="F61" s="54" t="str">
        <x:v>https://data.nlr.gov/system/files/304/1767739491-UPV%202025Q1.txt</x:v>
      </x:c>
      <x:c r="G61" s="18" t="str">
        <x:v>land lease negotiation/community engagement fixed + variable</x:v>
      </x:c>
    </x:row>
    <x:row r="62">
      <x:c r="A62" t="str">
        <x:v>Other</x:v>
      </x:c>
      <x:c r="B62" t="str">
        <x:v>Sales tax</x:v>
      </x:c>
      <x:c r="C62" t="str">
        <x:v>SUNK_SOFT_NONPHYSICAL</x:v>
      </x:c>
      <x:c r="D62" t="str">
        <x:v>SALES_TAX</x:v>
      </x:c>
      <x:c r="E62" s="40" t="n">
        <x:v>40.323640932632046</x:v>
      </x:c>
      <x:c r="F62" s="54" t="str">
        <x:v>https://data.nlr.gov/system/files/304/1767739491-UPV%202025Q1.txt</x:v>
      </x:c>
      <x:c r="G62" s="18" t="str">
        <x:v>proportional to PV hardware cost</x:v>
      </x:c>
    </x:row>
    <x:row r="63">
      <x:c r="A63" t="str">
        <x:v>Other</x:v>
      </x:c>
      <x:c r="B63" t="str">
        <x:v>Contingency</x:v>
      </x:c>
      <x:c r="C63" t="str">
        <x:v>SUNK_SOFT_NONPHYSICAL</x:v>
      </x:c>
      <x:c r="D63" t="str">
        <x:v>CONTINGENCY</x:v>
      </x:c>
      <x:c r="E63" s="40" t="n">
        <x:v>21.206030485006433</x:v>
      </x:c>
      <x:c r="F63" s="54" t="str">
        <x:v>https://data.nlr.gov/system/files/304/1767739491-UPV%202025Q1.txt</x:v>
      </x:c>
      <x:c r="G63" s="18" t="str">
        <x:v>cost overruns reserve</x:v>
      </x:c>
    </x:row>
    <x:row r="64">
      <x:c r="A64" t="str">
        <x:v>Other</x:v>
      </x:c>
      <x:c r="B64" t="str">
        <x:v>Management</x:v>
      </x:c>
      <x:c r="C64" t="str">
        <x:v>SUNK_SOFT_NONPHYSICAL</x:v>
      </x:c>
      <x:c r="D64" t="str">
        <x:v>MANAGEMENT</x:v>
      </x:c>
      <x:c r="E64" s="40" t="n">
        <x:v>23.49326999302625</x:v>
      </x:c>
      <x:c r="F64" s="54" t="str">
        <x:v>https://data.nlr.gov/system/files/304/1767739491-UPV%202025Q1.txt</x:v>
      </x:c>
      <x:c r="G64" s="18" t="str">
        <x:v>EPC/developer management fixed + variable</x:v>
      </x:c>
    </x:row>
    <x:row r="65">
      <x:c r="A65" t="str">
        <x:v>Other</x:v>
      </x:c>
      <x:c r="B65" t="str">
        <x:v>Developer profit / residual</x:v>
      </x:c>
      <x:c r="C65" t="str">
        <x:v>SUNK_SOFT_NONPHYSICAL</x:v>
      </x:c>
      <x:c r="D65" t="str">
        <x:v>DEVELOPER_PROFIT_RESIDUAL</x:v>
      </x:c>
      <x:c r="E65" s="40" t="n">
        <x:v>48.65005928671046</x:v>
      </x:c>
      <x:c r="F65" s="54" t="str">
        <x:v>https://data.nlr.gov/system/files/304/1767739491-UPV%202025Q1.txt</x:v>
      </x:c>
      <x:c r="G65" s="18" t="str">
        <x:v>residual to reconcile to published PV-only MMP total $1.12/Wdc</x:v>
      </x:c>
    </x:row>
  </x:sheetData>
  <x:pageMargins left="0.7" right="0.7" top="0.75" bottom="0.75" header="0.3" footer="0.3"/>
  <x:tableParts count="1">
    <x:tablePart xmlns:r="http://schemas.openxmlformats.org/officeDocument/2006/relationships" r:id="R52cda143a1e046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9.75" hidden="0" customWidth="1"/>
    <x:col min="3" max="3" width="30.5" hidden="0" customWidth="1"/>
    <x:col min="4" max="4" width="38.25" hidden="0" customWidth="1"/>
    <x:col min="5" max="5" width="32" hidden="0" customWidth="1"/>
    <x:col min="6" max="6" width="17.8799991607666" hidden="0" customWidth="1"/>
    <x:col min="7" max="7" width="9.630000114440918" hidden="0" customWidth="1"/>
    <x:col min="8" max="8" width="19.8799991607666" hidden="0" customWidth="1"/>
    <x:col min="9" max="9" width="7.75" hidden="0" customWidth="1"/>
    <x:col min="10" max="10" width="17.25" hidden="0" customWidth="1"/>
    <x:col min="11" max="11" width="16.8799991607666" hidden="0" customWidth="1"/>
    <x:col min="12" max="12" width="12.130000114440918" hidden="0" customWidth="1"/>
    <x:col min="13" max="13" width="11.75" hidden="0" customWidth="1"/>
    <x:col min="14" max="14" width="22" hidden="0" customWidth="1"/>
    <x:col min="15" max="15" width="21.6299991607666" hidden="0" customWidth="1"/>
    <x:col min="16" max="16" width="45" hidden="0" customWidth="1"/>
    <x:col min="17" max="17" width="70" hidden="0" customWidth="1"/>
  </x:cols>
  <x:sheetData>
    <x:row r="1">
      <x:c r="A1" s="13" t="str">
        <x:v>tech</x:v>
      </x:c>
      <x:c r="B1" s="13" t="str">
        <x:v>asset_scope</x:v>
      </x:c>
      <x:c r="C1" s="13" t="str">
        <x:v>subsystem</x:v>
      </x:c>
      <x:c r="D1" s="13" t="str">
        <x:v>component</x:v>
      </x:c>
      <x:c r="E1" s="13" t="str">
        <x:v>source_cost_item</x:v>
      </x:c>
      <x:c r="F1" s="13" t="str">
        <x:v>cost_bucket</x:v>
      </x:c>
      <x:c r="G1" s="13" t="str">
        <x:v>basis_scope</x:v>
      </x:c>
      <x:c r="H1" s="13" t="str">
        <x:v>include_in_physical_base</x:v>
      </x:c>
      <x:c r="I1" s="13" t="str">
        <x:v>trust_tier</x:v>
      </x:c>
      <x:c r="J1" s="13" t="str">
        <x:v>installed_usd_per_kw</x:v>
      </x:c>
      <x:c r="K1" s="13" t="str">
        <x:v>physical_usd_per_kw</x:v>
      </x:c>
      <x:c r="L1" s="13" t="str">
        <x:v>installed_share</x:v>
      </x:c>
      <x:c r="M1" s="13" t="str">
        <x:v>physical_share</x:v>
      </x:c>
      <x:c r="N1" s="13" t="str">
        <x:v>default_installed_value_usd</x:v>
      </x:c>
      <x:c r="O1" s="13" t="str">
        <x:v>default_physical_value_usd</x:v>
      </x:c>
      <x:c r="P1" s="13" t="str">
        <x:v>source_url</x:v>
      </x:c>
      <x:c r="Q1" s="13" t="str">
        <x:v>notes</x:v>
      </x:c>
    </x:row>
    <x:row r="2">
      <x:c r="A2" t="str">
        <x:v>wind</x:v>
      </x:c>
      <x:c r="B2" t="str">
        <x:v>generator</x:v>
      </x:c>
      <x:c r="C2" t="str">
        <x:v>ROTOR_ASSEMBLY</x:v>
      </x:c>
      <x:c r="D2" t="str">
        <x:v>BLADE</x:v>
      </x:c>
      <x:c r="E2" t="str">
        <x:v>Blades</x:v>
      </x:c>
      <x:c r="F2" t="str">
        <x:v>hardware</x:v>
      </x:c>
      <x:c r="G2" t="str">
        <x:v>physical</x:v>
      </x:c>
      <x:c r="H2" t="str">
        <x:v>Y</x:v>
      </x:c>
      <x:c r="I2" t="str">
        <x:v>high</x:v>
      </x:c>
      <x:c r="J2" s="47" t="n">
        <x:v>282</x:v>
      </x:c>
      <x:c r="K2" s="47" t="n">
        <x:v>282</x:v>
      </x:c>
      <x:c r="L2" s="50" t="n">
        <x:f>J2/SUM($J$2:$J$19)</x:f>
        <x:v>0.14329268292682926</x:v>
      </x:c>
      <x:c r="M2" s="50" t="n">
        <x:f>IF(K2=0,0,K2/SUM($K$2:$K$19))</x:f>
        <x:v>0.17375231053604437</x:v>
      </x:c>
      <x:c r="N2" s="51" t="n">
        <x:f>J2*Inputs!$B$5*1000</x:f>
        <x:v>56400000</x:v>
      </x:c>
      <x:c r="O2" s="51" t="n">
        <x:f>K2*Inputs!$B$5*1000</x:f>
        <x:v>56400000</x:v>
      </x:c>
      <x:c r="P2" s="54" t="str">
        <x:v>https://www.nrel.gov/docs/fy25osti/91775.pdf</x:v>
      </x:c>
      <x:c r="Q2" s="18" t="str">
        <x:v>Direct CWER component row.</x:v>
      </x:c>
    </x:row>
    <x:row r="3">
      <x:c r="A3" t="str">
        <x:v>wind</x:v>
      </x:c>
      <x:c r="B3" t="str">
        <x:v>generator</x:v>
      </x:c>
      <x:c r="C3" t="str">
        <x:v>PITCH_SYSTEM</x:v>
      </x:c>
      <x:c r="D3" t="str">
        <x:v>PITCH_DRIVE</x:v>
      </x:c>
      <x:c r="E3" t="str">
        <x:v>Pitch assembly</x:v>
      </x:c>
      <x:c r="F3" t="str">
        <x:v>hardware</x:v>
      </x:c>
      <x:c r="G3" t="str">
        <x:v>physical</x:v>
      </x:c>
      <x:c r="H3" t="str">
        <x:v>Y</x:v>
      </x:c>
      <x:c r="I3" t="str">
        <x:v>high</x:v>
      </x:c>
      <x:c r="J3" s="47" t="n">
        <x:v>13</x:v>
      </x:c>
      <x:c r="K3" s="47" t="n">
        <x:v>13</x:v>
      </x:c>
      <x:c r="L3" s="50" t="n">
        <x:f>J3/SUM($J$2:$J$19)</x:f>
        <x:v>0.0066056910569105695</x:v>
      </x:c>
      <x:c r="M3" s="50" t="n">
        <x:f>IF(K3=0,0,K3/SUM($K$2:$K$19))</x:f>
        <x:v>0.008009858287122612</x:v>
      </x:c>
      <x:c r="N3" s="51" t="n">
        <x:f>J3*Inputs!$B$5*1000</x:f>
        <x:v>2600000</x:v>
      </x:c>
      <x:c r="O3" s="51" t="n">
        <x:f>K3*Inputs!$B$5*1000</x:f>
        <x:v>2600000</x:v>
      </x:c>
      <x:c r="P3" s="54" t="str">
        <x:v>https://www.nrel.gov/docs/fy25osti/91775.pdf</x:v>
      </x:c>
      <x:c r="Q3" s="18" t="str">
        <x:v>CWER reports inside rotor module; mapped to substrate PITCH_SYSTEM.</x:v>
      </x:c>
    </x:row>
    <x:row r="4">
      <x:c r="A4" t="str">
        <x:v>wind</x:v>
      </x:c>
      <x:c r="B4" t="str">
        <x:v>generator</x:v>
      </x:c>
      <x:c r="C4" t="str">
        <x:v>ROTOR_ASSEMBLY</x:v>
      </x:c>
      <x:c r="D4" t="str">
        <x:v>HUB</x:v>
      </x:c>
      <x:c r="E4" t="str">
        <x:v>Hub assembly</x:v>
      </x:c>
      <x:c r="F4" t="str">
        <x:v>hardware</x:v>
      </x:c>
      <x:c r="G4" t="str">
        <x:v>physical</x:v>
      </x:c>
      <x:c r="H4" t="str">
        <x:v>Y</x:v>
      </x:c>
      <x:c r="I4" t="str">
        <x:v>high</x:v>
      </x:c>
      <x:c r="J4" s="47" t="n">
        <x:v>42</x:v>
      </x:c>
      <x:c r="K4" s="47" t="n">
        <x:v>42</x:v>
      </x:c>
      <x:c r="L4" s="50" t="n">
        <x:f>J4/SUM($J$2:$J$19)</x:f>
        <x:v>0.021341463414634148</x:v>
      </x:c>
      <x:c r="M4" s="50" t="n">
        <x:f>IF(K4=0,0,K4/SUM($K$2:$K$19))</x:f>
        <x:v>0.025878003696857672</x:v>
      </x:c>
      <x:c r="N4" s="51" t="n">
        <x:f>J4*Inputs!$B$5*1000</x:f>
        <x:v>8400000</x:v>
      </x:c>
      <x:c r="O4" s="51" t="n">
        <x:f>K4*Inputs!$B$5*1000</x:f>
        <x:v>8400000</x:v>
      </x:c>
      <x:c r="P4" s="54" t="str">
        <x:v>https://www.nrel.gov/docs/fy25osti/91775.pdf</x:v>
      </x:c>
      <x:c r="Q4" s="18" t="str">
        <x:v>Direct CWER component row.</x:v>
      </x:c>
    </x:row>
    <x:row r="5">
      <x:c r="A5" t="str">
        <x:v>wind</x:v>
      </x:c>
      <x:c r="B5" t="str">
        <x:v>generator</x:v>
      </x:c>
      <x:c r="C5" t="str">
        <x:v>NACELLE</x:v>
      </x:c>
      <x:c r="D5" t="str">
        <x:v>NACELLE_STRUCTURE</x:v>
      </x:c>
      <x:c r="E5" t="str">
        <x:v>Nacelle structural assembly</x:v>
      </x:c>
      <x:c r="F5" t="str">
        <x:v>hardware</x:v>
      </x:c>
      <x:c r="G5" t="str">
        <x:v>physical</x:v>
      </x:c>
      <x:c r="H5" t="str">
        <x:v>Y</x:v>
      </x:c>
      <x:c r="I5" t="str">
        <x:v>high</x:v>
      </x:c>
      <x:c r="J5" s="47" t="n">
        <x:v>76</x:v>
      </x:c>
      <x:c r="K5" s="47" t="n">
        <x:v>76</x:v>
      </x:c>
      <x:c r="L5" s="50" t="n">
        <x:f>J5/SUM($J$2:$J$19)</x:f>
        <x:v>0.03861788617886179</x:v>
      </x:c>
      <x:c r="M5" s="50" t="n">
        <x:f>IF(K5=0,0,K5/SUM($K$2:$K$19))</x:f>
        <x:v>0.04682686383240912</x:v>
      </x:c>
      <x:c r="N5" s="51" t="n">
        <x:f>J5*Inputs!$B$5*1000</x:f>
        <x:v>15200000</x:v>
      </x:c>
      <x:c r="O5" s="51" t="n">
        <x:f>K5*Inputs!$B$5*1000</x:f>
        <x:v>15200000</x:v>
      </x:c>
      <x:c r="P5" s="54" t="str">
        <x:v>https://www.nrel.gov/docs/fy25osti/91775.pdf</x:v>
      </x:c>
      <x:c r="Q5" s="18" t="str">
        <x:v>Direct CWER component row.</x:v>
      </x:c>
    </x:row>
    <x:row r="6">
      <x:c r="A6" t="str">
        <x:v>wind</x:v>
      </x:c>
      <x:c r="B6" t="str">
        <x:v>generator</x:v>
      </x:c>
      <x:c r="C6" t="str">
        <x:v>NACELLE</x:v>
      </x:c>
      <x:c r="D6" t="str">
        <x:v>GEARBOX + GENERATOR_INTERNAL</x:v>
      </x:c>
      <x:c r="E6" t="str">
        <x:v>Drivetrain assembly</x:v>
      </x:c>
      <x:c r="F6" t="str">
        <x:v>hardware</x:v>
      </x:c>
      <x:c r="G6" t="str">
        <x:v>physical</x:v>
      </x:c>
      <x:c r="H6" t="str">
        <x:v>Y</x:v>
      </x:c>
      <x:c r="I6" t="str">
        <x:v>high</x:v>
      </x:c>
      <x:c r="J6" s="47" t="n">
        <x:v>236</x:v>
      </x:c>
      <x:c r="K6" s="47" t="n">
        <x:v>236</x:v>
      </x:c>
      <x:c r="L6" s="50" t="n">
        <x:f>J6/SUM($J$2:$J$19)</x:f>
        <x:v>0.11991869918699187</x:v>
      </x:c>
      <x:c r="M6" s="50" t="n">
        <x:f>IF(K6=0,0,K6/SUM($K$2:$K$19))</x:f>
        <x:v>0.14540973505853358</x:v>
      </x:c>
      <x:c r="N6" s="51" t="n">
        <x:f>J6*Inputs!$B$5*1000</x:f>
        <x:v>47200000</x:v>
      </x:c>
      <x:c r="O6" s="51" t="n">
        <x:f>K6*Inputs!$B$5*1000</x:f>
        <x:v>47200000</x:v>
      </x:c>
      <x:c r="P6" s="54" t="str">
        <x:v>https://www.nrel.gov/docs/fy25osti/91775.pdf</x:v>
      </x:c>
      <x:c r="Q6" s="18" t="str">
        <x:v>Public source does not split gearbox vs generator; kept as drivetrain rollup.</x:v>
      </x:c>
    </x:row>
    <x:row r="7">
      <x:c r="A7" t="str">
        <x:v>wind</x:v>
      </x:c>
      <x:c r="B7" t="str">
        <x:v>generator</x:v>
      </x:c>
      <x:c r="C7" t="str">
        <x:v>POWER_ELECTRONICS</x:v>
      </x:c>
      <x:c r="D7" t="str">
        <x:v>POWER_CONVERTER</x:v>
      </x:c>
      <x:c r="E7" t="str">
        <x:v>Nacelle electrical assembly</x:v>
      </x:c>
      <x:c r="F7" t="str">
        <x:v>hardware</x:v>
      </x:c>
      <x:c r="G7" t="str">
        <x:v>physical</x:v>
      </x:c>
      <x:c r="H7" t="str">
        <x:v>Y</x:v>
      </x:c>
      <x:c r="I7" t="str">
        <x:v>high</x:v>
      </x:c>
      <x:c r="J7" s="47" t="n">
        <x:v>137</x:v>
      </x:c>
      <x:c r="K7" s="47" t="n">
        <x:v>137</x:v>
      </x:c>
      <x:c r="L7" s="50" t="n">
        <x:f>J7/SUM($J$2:$J$19)</x:f>
        <x:v>0.06961382113821138</x:v>
      </x:c>
      <x:c r="M7" s="50" t="n">
        <x:f>IF(K7=0,0,K7/SUM($K$2:$K$19))</x:f>
        <x:v>0.08441158348736907</x:v>
      </x:c>
      <x:c r="N7" s="51" t="n">
        <x:f>J7*Inputs!$B$5*1000</x:f>
        <x:v>27400000</x:v>
      </x:c>
      <x:c r="O7" s="51" t="n">
        <x:f>K7*Inputs!$B$5*1000</x:f>
        <x:v>27400000</x:v>
      </x:c>
      <x:c r="P7" s="54" t="str">
        <x:v>https://www.nrel.gov/docs/fy25osti/91775.pdf</x:v>
      </x:c>
      <x:c r="Q7" s="18" t="str">
        <x:v>CWER nacelle electrical assembly mapped to substrate POWER_ELECTRONICS.</x:v>
      </x:c>
    </x:row>
    <x:row r="8">
      <x:c r="A8" t="str">
        <x:v>wind</x:v>
      </x:c>
      <x:c r="B8" t="str">
        <x:v>generator</x:v>
      </x:c>
      <x:c r="C8" t="str">
        <x:v>NACELLE</x:v>
      </x:c>
      <x:c r="D8" t="str">
        <x:v>YAW_SYSTEM</x:v>
      </x:c>
      <x:c r="E8" t="str">
        <x:v>Yaw assembly</x:v>
      </x:c>
      <x:c r="F8" t="str">
        <x:v>hardware</x:v>
      </x:c>
      <x:c r="G8" t="str">
        <x:v>physical</x:v>
      </x:c>
      <x:c r="H8" t="str">
        <x:v>Y</x:v>
      </x:c>
      <x:c r="I8" t="str">
        <x:v>high</x:v>
      </x:c>
      <x:c r="J8" s="47" t="n">
        <x:v>28</x:v>
      </x:c>
      <x:c r="K8" s="47" t="n">
        <x:v>28</x:v>
      </x:c>
      <x:c r="L8" s="50" t="n">
        <x:f>J8/SUM($J$2:$J$19)</x:f>
        <x:v>0.014227642276422764</x:v>
      </x:c>
      <x:c r="M8" s="50" t="n">
        <x:f>IF(K8=0,0,K8/SUM($K$2:$K$19))</x:f>
        <x:v>0.01725200246457178</x:v>
      </x:c>
      <x:c r="N8" s="51" t="n">
        <x:f>J8*Inputs!$B$5*1000</x:f>
        <x:v>5600000</x:v>
      </x:c>
      <x:c r="O8" s="51" t="n">
        <x:f>K8*Inputs!$B$5*1000</x:f>
        <x:v>5600000</x:v>
      </x:c>
      <x:c r="P8" s="54" t="str">
        <x:v>https://www.nrel.gov/docs/fy25osti/91775.pdf</x:v>
      </x:c>
      <x:c r="Q8" s="18" t="str">
        <x:v>Direct CWER component row.</x:v>
      </x:c>
    </x:row>
    <x:row r="9">
      <x:c r="A9" t="str">
        <x:v>wind</x:v>
      </x:c>
      <x:c r="B9" t="str">
        <x:v>generator</x:v>
      </x:c>
      <x:c r="C9" t="str">
        <x:v>TOWER</x:v>
      </x:c>
      <x:c r="D9" t="str">
        <x:v>TOWER_SECTION</x:v>
      </x:c>
      <x:c r="E9" t="str">
        <x:v>Tower module</x:v>
      </x:c>
      <x:c r="F9" t="str">
        <x:v>hardware</x:v>
      </x:c>
      <x:c r="G9" t="str">
        <x:v>physical</x:v>
      </x:c>
      <x:c r="H9" t="str">
        <x:v>Y</x:v>
      </x:c>
      <x:c r="I9" t="str">
        <x:v>high</x:v>
      </x:c>
      <x:c r="J9" s="47" t="n">
        <x:v>276</x:v>
      </x:c>
      <x:c r="K9" s="47" t="n">
        <x:v>276</x:v>
      </x:c>
      <x:c r="L9" s="50" t="n">
        <x:f>J9/SUM($J$2:$J$19)</x:f>
        <x:v>0.1402439024390244</x:v>
      </x:c>
      <x:c r="M9" s="50" t="n">
        <x:f>IF(K9=0,0,K9/SUM($K$2:$K$19))</x:f>
        <x:v>0.17005545286506468</x:v>
      </x:c>
      <x:c r="N9" s="51" t="n">
        <x:f>J9*Inputs!$B$5*1000</x:f>
        <x:v>55200000</x:v>
      </x:c>
      <x:c r="O9" s="51" t="n">
        <x:f>K9*Inputs!$B$5*1000</x:f>
        <x:v>55200000</x:v>
      </x:c>
      <x:c r="P9" s="54" t="str">
        <x:v>https://www.nrel.gov/docs/fy25osti/91775.pdf</x:v>
      </x:c>
      <x:c r="Q9" s="18" t="str">
        <x:v>Direct CWER subsystem/component row.</x:v>
      </x:c>
    </x:row>
    <x:row r="10">
      <x:c r="A10" t="str">
        <x:v>wind</x:v>
      </x:c>
      <x:c r="B10" t="str">
        <x:v>plant</x:v>
      </x:c>
      <x:c r="C10" t="str">
        <x:v>FOUNDATION</x:v>
      </x:c>
      <x:c r="D10" t="str">
        <x:v>FOUNDATION_BASE</x:v>
      </x:c>
      <x:c r="E10" t="str">
        <x:v>Foundation</x:v>
      </x:c>
      <x:c r="F10" t="str">
        <x:v>hardware</x:v>
      </x:c>
      <x:c r="G10" t="str">
        <x:v>physical</x:v>
      </x:c>
      <x:c r="H10" t="str">
        <x:v>Y</x:v>
      </x:c>
      <x:c r="I10" t="str">
        <x:v>high</x:v>
      </x:c>
      <x:c r="J10" s="47" t="n">
        <x:v>120</x:v>
      </x:c>
      <x:c r="K10" s="47" t="n">
        <x:v>120</x:v>
      </x:c>
      <x:c r="L10" s="50" t="n">
        <x:f>J10/SUM($J$2:$J$19)</x:f>
        <x:v>0.06097560975609756</x:v>
      </x:c>
      <x:c r="M10" s="50" t="n">
        <x:f>IF(K10=0,0,K10/SUM($K$2:$K$19))</x:f>
        <x:v>0.07393715341959335</x:v>
      </x:c>
      <x:c r="N10" s="51" t="n">
        <x:f>J10*Inputs!$B$5*1000</x:f>
        <x:v>24000000</x:v>
      </x:c>
      <x:c r="O10" s="51" t="n">
        <x:f>K10*Inputs!$B$5*1000</x:f>
        <x:v>24000000</x:v>
      </x:c>
      <x:c r="P10" s="54" t="str">
        <x:v>https://www.nrel.gov/docs/fy25osti/91775.pdf</x:v>
      </x:c>
      <x:c r="Q10" s="18" t="str">
        <x:v>LandBOSSE BOS line item.</x:v>
      </x:c>
    </x:row>
    <x:row r="11">
      <x:c r="A11" t="str">
        <x:v>wind</x:v>
      </x:c>
      <x:c r="B11" t="str">
        <x:v>plant</x:v>
      </x:c>
      <x:c r="C11" t="str">
        <x:v>CIVIL_INFRA</x:v>
      </x:c>
      <x:c r="D11" t="str">
        <x:v>SITE_ACCESS_STAGING_FACILITIES</x:v>
      </x:c>
      <x:c r="E11" t="str">
        <x:v>Site access, staging, and facilities</x:v>
      </x:c>
      <x:c r="F11" t="str">
        <x:v>hardware</x:v>
      </x:c>
      <x:c r="G11" t="str">
        <x:v>physical</x:v>
      </x:c>
      <x:c r="H11" t="str">
        <x:v>Y</x:v>
      </x:c>
      <x:c r="I11" t="str">
        <x:v>high</x:v>
      </x:c>
      <x:c r="J11" s="47" t="n">
        <x:v>47</x:v>
      </x:c>
      <x:c r="K11" s="47" t="n">
        <x:v>47</x:v>
      </x:c>
      <x:c r="L11" s="50" t="n">
        <x:f>J11/SUM($J$2:$J$19)</x:f>
        <x:v>0.023882113821138213</x:v>
      </x:c>
      <x:c r="M11" s="50" t="n">
        <x:f>IF(K11=0,0,K11/SUM($K$2:$K$19))</x:f>
        <x:v>0.02895871842267406</x:v>
      </x:c>
      <x:c r="N11" s="51" t="n">
        <x:f>J11*Inputs!$B$5*1000</x:f>
        <x:v>9400000</x:v>
      </x:c>
      <x:c r="O11" s="51" t="n">
        <x:f>K11*Inputs!$B$5*1000</x:f>
        <x:v>9400000</x:v>
      </x:c>
      <x:c r="P11" s="54" t="str">
        <x:v>https://www.nrel.gov/docs/fy25osti/91775.pdf</x:v>
      </x:c>
      <x:c r="Q11" s="18" t="str">
        <x:v>Roads/staging/facilities rollup.</x:v>
      </x:c>
    </x:row>
    <x:row r="12">
      <x:c r="A12" t="str">
        <x:v>wind</x:v>
      </x:c>
      <x:c r="B12" t="str">
        <x:v>plant</x:v>
      </x:c>
      <x:c r="C12" t="str">
        <x:v>ELECTRICAL_COLLECTION + SUBSTATION</x:v>
      </x:c>
      <x:c r="D12" t="str">
        <x:v>CABLE_AC + TRANSFORMER_MAIN + SWITCHGEAR</x:v>
      </x:c>
      <x:c r="E12" t="str">
        <x:v>Electrical infrastructure</x:v>
      </x:c>
      <x:c r="F12" t="str">
        <x:v>hardware</x:v>
      </x:c>
      <x:c r="G12" t="str">
        <x:v>physical</x:v>
      </x:c>
      <x:c r="H12" t="str">
        <x:v>Y</x:v>
      </x:c>
      <x:c r="I12" t="str">
        <x:v>medium</x:v>
      </x:c>
      <x:c r="J12" s="47" t="n">
        <x:v>72</x:v>
      </x:c>
      <x:c r="K12" s="47" t="n">
        <x:v>72</x:v>
      </x:c>
      <x:c r="L12" s="50" t="n">
        <x:f>J12/SUM($J$2:$J$19)</x:f>
        <x:v>0.036585365853658534</x:v>
      </x:c>
      <x:c r="M12" s="50" t="n">
        <x:f>IF(K12=0,0,K12/SUM($K$2:$K$19))</x:f>
        <x:v>0.04436229205175601</x:v>
      </x:c>
      <x:c r="N12" s="51" t="n">
        <x:f>J12*Inputs!$B$5*1000</x:f>
        <x:v>14400000</x:v>
      </x:c>
      <x:c r="O12" s="51" t="n">
        <x:f>K12*Inputs!$B$5*1000</x:f>
        <x:v>14400000</x:v>
      </x:c>
      <x:c r="P12" s="54" t="str">
        <x:v>https://www.nrel.gov/docs/fy25osti/91775.pdf</x:v>
      </x:c>
      <x:c r="Q12" s="18" t="str">
        <x:v>CWER does not split collection vs substation; row is a plant electrical rollup.</x:v>
      </x:c>
    </x:row>
    <x:row r="13">
      <x:c r="A13" t="str">
        <x:v>wind</x:v>
      </x:c>
      <x:c r="B13" t="str">
        <x:v>cost_basis</x:v>
      </x:c>
      <x:c r="C13" t="str">
        <x:v>REPLACEMENT_FIELDWORK</x:v>
      </x:c>
      <x:c r="D13" t="str">
        <x:v>ASSEMBLY_AND_INSTALLATION</x:v>
      </x:c>
      <x:c r="E13" t="str">
        <x:v>Assembly and installation</x:v>
      </x:c>
      <x:c r="F13" t="str">
        <x:v>replacement_fieldwork</x:v>
      </x:c>
      <x:c r="G13" t="str">
        <x:v>physical</x:v>
      </x:c>
      <x:c r="H13" t="str">
        <x:v>Y</x:v>
      </x:c>
      <x:c r="I13" t="str">
        <x:v>high</x:v>
      </x:c>
      <x:c r="J13" s="47" t="n">
        <x:v>100</x:v>
      </x:c>
      <x:c r="K13" s="47" t="n">
        <x:v>100</x:v>
      </x:c>
      <x:c r="L13" s="50" t="n">
        <x:f>J13/SUM($J$2:$J$19)</x:f>
        <x:v>0.0508130081300813</x:v>
      </x:c>
      <x:c r="M13" s="50" t="n">
        <x:f>IF(K13=0,0,K13/SUM($K$2:$K$19))</x:f>
        <x:v>0.061614294516327786</x:v>
      </x:c>
      <x:c r="N13" s="51" t="n">
        <x:f>J13*Inputs!$B$5*1000</x:f>
        <x:v>20000000</x:v>
      </x:c>
      <x:c r="O13" s="51" t="n">
        <x:f>K13*Inputs!$B$5*1000</x:f>
        <x:v>20000000</x:v>
      </x:c>
      <x:c r="P13" s="54" t="str">
        <x:v>https://www.nrel.gov/docs/fy25osti/91775.pdf</x:v>
      </x:c>
      <x:c r="Q13" s="18" t="str">
        <x:v>Replacement-cost add-on, not an owned hardware component.</x:v>
      </x:c>
    </x:row>
    <x:row r="14">
      <x:c r="A14" t="str">
        <x:v>wind</x:v>
      </x:c>
      <x:c r="B14" t="str">
        <x:v>cost_basis</x:v>
      </x:c>
      <x:c r="C14" t="str">
        <x:v>REPLACEMENT_LOGISTICS</x:v>
      </x:c>
      <x:c r="D14" t="str">
        <x:v>WIND_TURBINE_TRANSPORT</x:v>
      </x:c>
      <x:c r="E14" t="str">
        <x:v>Wind turbine transport</x:v>
      </x:c>
      <x:c r="F14" t="str">
        <x:v>replacement_logistics</x:v>
      </x:c>
      <x:c r="G14" t="str">
        <x:v>physical</x:v>
      </x:c>
      <x:c r="H14" t="str">
        <x:v>Y</x:v>
      </x:c>
      <x:c r="I14" t="str">
        <x:v>high</x:v>
      </x:c>
      <x:c r="J14" s="47" t="n">
        <x:v>194</x:v>
      </x:c>
      <x:c r="K14" s="47" t="n">
        <x:v>194</x:v>
      </x:c>
      <x:c r="L14" s="50" t="n">
        <x:f>J14/SUM($J$2:$J$19)</x:f>
        <x:v>0.09857723577235772</x:v>
      </x:c>
      <x:c r="M14" s="50" t="n">
        <x:f>IF(K14=0,0,K14/SUM($K$2:$K$19))</x:f>
        <x:v>0.11953173136167591</x:v>
      </x:c>
      <x:c r="N14" s="51" t="n">
        <x:f>J14*Inputs!$B$5*1000</x:f>
        <x:v>38800000</x:v>
      </x:c>
      <x:c r="O14" s="51" t="n">
        <x:f>K14*Inputs!$B$5*1000</x:f>
        <x:v>38800000</x:v>
      </x:c>
      <x:c r="P14" s="54" t="str">
        <x:v>https://www.nrel.gov/docs/fy25osti/91775.pdf</x:v>
      </x:c>
      <x:c r="Q14" s="18" t="str">
        <x:v>Included in default physical replacement basis because it recurs on major replacement; can be toggled out for hardware-only asset value.</x:v>
      </x:c>
    </x:row>
    <x:row r="15">
      <x:c r="A15" t="str">
        <x:v>wind</x:v>
      </x:c>
      <x:c r="B15" t="str">
        <x:v>cost_basis</x:v>
      </x:c>
      <x:c r="C15" t="str">
        <x:v>SUNK_SOFT_NONPHYSICAL</x:v>
      </x:c>
      <x:c r="D15" t="str">
        <x:v>ENGINEERING_AND_DEVELOPMENT</x:v>
      </x:c>
      <x:c r="E15" t="str">
        <x:v>Engineering and development</x:v>
      </x:c>
      <x:c r="F15" t="str">
        <x:v>soft/sunk</x:v>
      </x:c>
      <x:c r="G15" t="str">
        <x:v>nonphysical</x:v>
      </x:c>
      <x:c r="H15" t="str">
        <x:v>N</x:v>
      </x:c>
      <x:c r="I15" t="str">
        <x:v>high</x:v>
      </x:c>
      <x:c r="J15" s="47" t="n">
        <x:v>36</x:v>
      </x:c>
      <x:c r="K15" s="47" t="n">
        <x:v>0</x:v>
      </x:c>
      <x:c r="L15" s="50" t="n">
        <x:f>J15/SUM($J$2:$J$19)</x:f>
        <x:v>0.018292682926829267</x:v>
      </x:c>
      <x:c r="M15" s="50" t="n">
        <x:f>IF(K15=0,0,K15/SUM($K$2:$K$19))</x:f>
        <x:v>0</x:v>
      </x:c>
      <x:c r="N15" s="51" t="n">
        <x:f>J15*Inputs!$B$5*1000</x:f>
        <x:v>7200000</x:v>
      </x:c>
      <x:c r="O15" s="51" t="n">
        <x:f>K15*Inputs!$B$5*1000</x:f>
        <x:v>0</x:v>
      </x:c>
      <x:c r="P15" s="54" t="str">
        <x:v>https://www.nrel.gov/docs/fy25osti/91775.pdf</x:v>
      </x:c>
      <x:c r="Q15" s="18" t="str">
        <x:v>Excluded from physical-damage denominator.</x:v>
      </x:c>
    </x:row>
    <x:row r="16">
      <x:c r="A16" t="str">
        <x:v>wind</x:v>
      </x:c>
      <x:c r="B16" t="str">
        <x:v>cost_basis</x:v>
      </x:c>
      <x:c r="C16" t="str">
        <x:v>SUNK_SOFT_NONPHYSICAL</x:v>
      </x:c>
      <x:c r="D16" t="str">
        <x:v>PROJECT_MANAGEMENT</x:v>
      </x:c>
      <x:c r="E16" t="str">
        <x:v>Project management</x:v>
      </x:c>
      <x:c r="F16" t="str">
        <x:v>soft/sunk</x:v>
      </x:c>
      <x:c r="G16" t="str">
        <x:v>nonphysical</x:v>
      </x:c>
      <x:c r="H16" t="str">
        <x:v>N</x:v>
      </x:c>
      <x:c r="I16" t="str">
        <x:v>high</x:v>
      </x:c>
      <x:c r="J16" s="47" t="n">
        <x:v>14</x:v>
      </x:c>
      <x:c r="K16" s="47" t="n">
        <x:v>0</x:v>
      </x:c>
      <x:c r="L16" s="50" t="n">
        <x:f>J16/SUM($J$2:$J$19)</x:f>
        <x:v>0.007113821138211382</x:v>
      </x:c>
      <x:c r="M16" s="50" t="n">
        <x:f>IF(K16=0,0,K16/SUM($K$2:$K$19))</x:f>
        <x:v>0</x:v>
      </x:c>
      <x:c r="N16" s="51" t="n">
        <x:f>J16*Inputs!$B$5*1000</x:f>
        <x:v>2800000</x:v>
      </x:c>
      <x:c r="O16" s="51" t="n">
        <x:f>K16*Inputs!$B$5*1000</x:f>
        <x:v>0</x:v>
      </x:c>
      <x:c r="P16" s="54" t="str">
        <x:v>https://www.nrel.gov/docs/fy25osti/91775.pdf</x:v>
      </x:c>
      <x:c r="Q16" s="18" t="str">
        <x:v>Excluded from physical-damage denominator.</x:v>
      </x:c>
    </x:row>
    <x:row r="17">
      <x:c r="A17" t="str">
        <x:v>wind</x:v>
      </x:c>
      <x:c r="B17" t="str">
        <x:v>cost_basis</x:v>
      </x:c>
      <x:c r="C17" t="str">
        <x:v>SUNK_SOFT_NONPHYSICAL</x:v>
      </x:c>
      <x:c r="D17" t="str">
        <x:v>CONSTRUCTION_FINANCE</x:v>
      </x:c>
      <x:c r="E17" t="str">
        <x:v>Construction finance</x:v>
      </x:c>
      <x:c r="F17" t="str">
        <x:v>soft/sunk</x:v>
      </x:c>
      <x:c r="G17" t="str">
        <x:v>nonphysical</x:v>
      </x:c>
      <x:c r="H17" t="str">
        <x:v>N</x:v>
      </x:c>
      <x:c r="I17" t="str">
        <x:v>high</x:v>
      </x:c>
      <x:c r="J17" s="47" t="n">
        <x:v>111</x:v>
      </x:c>
      <x:c r="K17" s="47" t="n">
        <x:v>0</x:v>
      </x:c>
      <x:c r="L17" s="50" t="n">
        <x:f>J17/SUM($J$2:$J$19)</x:f>
        <x:v>0.056402439024390245</x:v>
      </x:c>
      <x:c r="M17" s="50" t="n">
        <x:f>IF(K17=0,0,K17/SUM($K$2:$K$19))</x:f>
        <x:v>0</x:v>
      </x:c>
      <x:c r="N17" s="51" t="n">
        <x:f>J17*Inputs!$B$5*1000</x:f>
        <x:v>22200000</x:v>
      </x:c>
      <x:c r="O17" s="51" t="n">
        <x:f>K17*Inputs!$B$5*1000</x:f>
        <x:v>0</x:v>
      </x:c>
      <x:c r="P17" s="54" t="str">
        <x:v>https://www.nrel.gov/docs/fy25osti/91775.pdf</x:v>
      </x:c>
      <x:c r="Q17" s="18" t="str">
        <x:v>Excluded from physical-damage denominator.</x:v>
      </x:c>
    </x:row>
    <x:row r="18">
      <x:c r="A18" t="str">
        <x:v>wind</x:v>
      </x:c>
      <x:c r="B18" t="str">
        <x:v>cost_basis</x:v>
      </x:c>
      <x:c r="C18" t="str">
        <x:v>SUNK_SOFT_NONPHYSICAL</x:v>
      </x:c>
      <x:c r="D18" t="str">
        <x:v>CONTINGENCY</x:v>
      </x:c>
      <x:c r="E18" t="str">
        <x:v>Contingency</x:v>
      </x:c>
      <x:c r="F18" t="str">
        <x:v>soft/sunk</x:v>
      </x:c>
      <x:c r="G18" t="str">
        <x:v>nonphysical</x:v>
      </x:c>
      <x:c r="H18" t="str">
        <x:v>N</x:v>
      </x:c>
      <x:c r="I18" t="str">
        <x:v>high</x:v>
      </x:c>
      <x:c r="J18" s="47" t="n">
        <x:v>54</x:v>
      </x:c>
      <x:c r="K18" s="47" t="n">
        <x:v>0</x:v>
      </x:c>
      <x:c r="L18" s="50" t="n">
        <x:f>J18/SUM($J$2:$J$19)</x:f>
        <x:v>0.027439024390243903</x:v>
      </x:c>
      <x:c r="M18" s="50" t="n">
        <x:f>IF(K18=0,0,K18/SUM($K$2:$K$19))</x:f>
        <x:v>0</x:v>
      </x:c>
      <x:c r="N18" s="51" t="n">
        <x:f>J18*Inputs!$B$5*1000</x:f>
        <x:v>10800000</x:v>
      </x:c>
      <x:c r="O18" s="51" t="n">
        <x:f>K18*Inputs!$B$5*1000</x:f>
        <x:v>0</x:v>
      </x:c>
      <x:c r="P18" s="54" t="str">
        <x:v>https://www.nrel.gov/docs/fy25osti/91775.pdf</x:v>
      </x:c>
      <x:c r="Q18" s="18" t="str">
        <x:v>CWER note: contingency also includes insurance, permitting, bonding, and markup.</x:v>
      </x:c>
    </x:row>
    <x:row r="19">
      <x:c r="A19" t="str">
        <x:v>wind</x:v>
      </x:c>
      <x:c r="B19" t="str">
        <x:v>cost_basis</x:v>
      </x:c>
      <x:c r="C19" t="str">
        <x:v>SUNK_SOFT_NONPHYSICAL</x:v>
      </x:c>
      <x:c r="D19" t="str">
        <x:v>WIND_TURBINE_WARRANTY</x:v>
      </x:c>
      <x:c r="E19" t="str">
        <x:v>Wind turbine warranty</x:v>
      </x:c>
      <x:c r="F19" t="str">
        <x:v>soft/sunk</x:v>
      </x:c>
      <x:c r="G19" t="str">
        <x:v>nonphysical</x:v>
      </x:c>
      <x:c r="H19" t="str">
        <x:v>N</x:v>
      </x:c>
      <x:c r="I19" t="str">
        <x:v>high</x:v>
      </x:c>
      <x:c r="J19" s="47" t="n">
        <x:v>130</x:v>
      </x:c>
      <x:c r="K19" s="47" t="n">
        <x:v>0</x:v>
      </x:c>
      <x:c r="L19" s="50" t="n">
        <x:f>J19/SUM($J$2:$J$19)</x:f>
        <x:v>0.06605691056910569</x:v>
      </x:c>
      <x:c r="M19" s="50" t="n">
        <x:f>IF(K19=0,0,K19/SUM($K$2:$K$19))</x:f>
        <x:v>0</x:v>
      </x:c>
      <x:c r="N19" s="51" t="n">
        <x:f>J19*Inputs!$B$5*1000</x:f>
        <x:v>26000000</x:v>
      </x:c>
      <x:c r="O19" s="51" t="n">
        <x:f>K19*Inputs!$B$5*1000</x:f>
        <x:v>0</x:v>
      </x:c>
      <x:c r="P19" s="54" t="str">
        <x:v>https://www.nrel.gov/docs/fy25osti/91775.pdf</x:v>
      </x:c>
      <x:c r="Q19" s="18" t="str">
        <x:v>Excluded from physical-damage denominator.</x:v>
      </x:c>
    </x:row>
  </x:sheetData>
  <x:pageMargins left="0.7" right="0.7" top="0.75" bottom="0.75" header="0.3" footer="0.3"/>
  <x:tableParts count="1">
    <x:tablePart xmlns:r="http://schemas.openxmlformats.org/officeDocument/2006/relationships" r:id="R0e6b35cde8a542d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.75" hidden="0" customWidth="1"/>
    <x:col min="2" max="2" width="24.8799991607666" hidden="0" customWidth="1"/>
    <x:col min="3" max="3" width="14.880000114440918" hidden="0" customWidth="1"/>
    <x:col min="4" max="4" width="30.5" hidden="0" customWidth="1"/>
    <x:col min="5" max="5" width="26.8799991607666" hidden="0" customWidth="1"/>
    <x:col min="6" max="6" width="35.630001068115234" hidden="0" customWidth="1"/>
    <x:col min="7" max="7" width="70" hidden="0" customWidth="1"/>
  </x:cols>
  <x:sheetData>
    <x:row r="1">
      <x:c r="A1" s="13" t="str">
        <x:v>source_section</x:v>
      </x:c>
      <x:c r="B1" s="13" t="str">
        <x:v>raw_element</x:v>
      </x:c>
      <x:c r="C1" s="13" t="str">
        <x:v>value_usd_per_kw</x:v>
      </x:c>
      <x:c r="D1" s="13" t="str">
        <x:v>mapped_subsystem</x:v>
      </x:c>
      <x:c r="E1" s="13" t="str">
        <x:v>mapped_component_or_group</x:v>
      </x:c>
      <x:c r="F1" s="13" t="str">
        <x:v>source_url</x:v>
      </x:c>
      <x:c r="G1" s="13" t="str">
        <x:v>notes</x:v>
      </x:c>
    </x:row>
    <x:row r="2">
      <x:c r="A2" t="str">
        <x:v>CWER land-based project breakdown</x:v>
      </x:c>
      <x:c r="B2" t="str">
        <x:v>Wind Turbine CapEx</x:v>
      </x:c>
      <x:c r="C2" s="40" t="n">
        <x:v>1091</x:v>
      </x:c>
      <x:c r="D2" t="str">
        <x:v>turbine</x:v>
      </x:c>
      <x:c r="E2" t="str">
        <x:v>group</x:v>
      </x:c>
      <x:c r="F2" s="54" t="str">
        <x:v>https://www.nrel.gov/docs/fy25osti/91775.pdf</x:v>
      </x:c>
      <x:c r="G2" s="18" t="str">
        <x:v>NREL CWER 2024 land-based wind cost breakdown</x:v>
      </x:c>
    </x:row>
    <x:row r="3">
      <x:c r="A3" t="str">
        <x:v>CWER land-based project breakdown</x:v>
      </x:c>
      <x:c r="B3" t="str">
        <x:v>Rotor</x:v>
      </x:c>
      <x:c r="C3" s="40" t="n">
        <x:v>337</x:v>
      </x:c>
      <x:c r="D3" t="str">
        <x:v>ROTOR_ASSEMBLY</x:v>
      </x:c>
      <x:c r="E3" t="str">
        <x:v>subsystem</x:v>
      </x:c>
      <x:c r="F3" s="54" t="str">
        <x:v>https://www.nrel.gov/docs/fy25osti/91775.pdf</x:v>
      </x:c>
      <x:c r="G3" s="18" t="str">
        <x:v>NREL CWER 2024 land-based wind cost breakdown</x:v>
      </x:c>
    </x:row>
    <x:row r="4">
      <x:c r="A4" t="str">
        <x:v>CWER land-based project breakdown</x:v>
      </x:c>
      <x:c r="B4" t="str">
        <x:v>Nacelle</x:v>
      </x:c>
      <x:c r="C4" s="40" t="n">
        <x:v>477</x:v>
      </x:c>
      <x:c r="D4" t="str">
        <x:v>NACELLE</x:v>
      </x:c>
      <x:c r="E4" t="str">
        <x:v>subsystem</x:v>
      </x:c>
      <x:c r="F4" s="54" t="str">
        <x:v>https://www.nrel.gov/docs/fy25osti/91775.pdf</x:v>
      </x:c>
      <x:c r="G4" s="18" t="str">
        <x:v>NREL CWER 2024 land-based wind cost breakdown</x:v>
      </x:c>
    </x:row>
    <x:row r="5">
      <x:c r="A5" t="str">
        <x:v>CWER land-based project breakdown</x:v>
      </x:c>
      <x:c r="B5" t="str">
        <x:v>Tower</x:v>
      </x:c>
      <x:c r="C5" s="40" t="n">
        <x:v>276</x:v>
      </x:c>
      <x:c r="D5" t="str">
        <x:v>TOWER</x:v>
      </x:c>
      <x:c r="E5" t="str">
        <x:v>subsystem</x:v>
      </x:c>
      <x:c r="F5" s="54" t="str">
        <x:v>https://www.nrel.gov/docs/fy25osti/91775.pdf</x:v>
      </x:c>
      <x:c r="G5" s="18" t="str">
        <x:v>NREL CWER 2024 land-based wind cost breakdown</x:v>
      </x:c>
    </x:row>
    <x:row r="6">
      <x:c r="A6" t="str">
        <x:v>CWER land-based project breakdown</x:v>
      </x:c>
      <x:c r="B6" t="str">
        <x:v>BOS CapEx</x:v>
      </x:c>
      <x:c r="C6" s="40" t="n">
        <x:v>582</x:v>
      </x:c>
      <x:c r="D6" t="str">
        <x:v>BOS</x:v>
      </x:c>
      <x:c r="E6" t="str">
        <x:v>group</x:v>
      </x:c>
      <x:c r="F6" s="54" t="str">
        <x:v>https://www.nrel.gov/docs/fy25osti/91775.pdf</x:v>
      </x:c>
      <x:c r="G6" s="18" t="str">
        <x:v>NREL CWER 2024 land-based wind cost breakdown</x:v>
      </x:c>
    </x:row>
    <x:row r="7">
      <x:c r="A7" t="str">
        <x:v>CWER land-based project breakdown</x:v>
      </x:c>
      <x:c r="B7" t="str">
        <x:v>Engineering and development</x:v>
      </x:c>
      <x:c r="C7" s="40" t="n">
        <x:v>36</x:v>
      </x:c>
      <x:c r="D7" t="str">
        <x:v>SUNK_SOFT_NONPHYSICAL</x:v>
      </x:c>
      <x:c r="E7" t="str">
        <x:v>soft/sunk</x:v>
      </x:c>
      <x:c r="F7" s="54" t="str">
        <x:v>https://www.nrel.gov/docs/fy25osti/91775.pdf</x:v>
      </x:c>
      <x:c r="G7" s="18" t="str">
        <x:v>NREL CWER 2024 land-based wind cost breakdown</x:v>
      </x:c>
    </x:row>
    <x:row r="8">
      <x:c r="A8" t="str">
        <x:v>CWER land-based project breakdown</x:v>
      </x:c>
      <x:c r="B8" t="str">
        <x:v>Project management</x:v>
      </x:c>
      <x:c r="C8" s="40" t="n">
        <x:v>14</x:v>
      </x:c>
      <x:c r="D8" t="str">
        <x:v>SUNK_SOFT_NONPHYSICAL</x:v>
      </x:c>
      <x:c r="E8" t="str">
        <x:v>soft/sunk</x:v>
      </x:c>
      <x:c r="F8" s="54" t="str">
        <x:v>https://www.nrel.gov/docs/fy25osti/91775.pdf</x:v>
      </x:c>
      <x:c r="G8" s="18" t="str">
        <x:v>NREL CWER 2024 land-based wind cost breakdown</x:v>
      </x:c>
    </x:row>
    <x:row r="9">
      <x:c r="A9" t="str">
        <x:v>CWER land-based project breakdown</x:v>
      </x:c>
      <x:c r="B9" t="str">
        <x:v>Foundation</x:v>
      </x:c>
      <x:c r="C9" s="40" t="n">
        <x:v>120</x:v>
      </x:c>
      <x:c r="D9" t="str">
        <x:v>FOUNDATION</x:v>
      </x:c>
      <x:c r="E9" t="str">
        <x:v>physical</x:v>
      </x:c>
      <x:c r="F9" s="54" t="str">
        <x:v>https://www.nrel.gov/docs/fy25osti/91775.pdf</x:v>
      </x:c>
      <x:c r="G9" s="18" t="str">
        <x:v>NREL CWER 2024 land-based wind cost breakdown</x:v>
      </x:c>
    </x:row>
    <x:row r="10">
      <x:c r="A10" t="str">
        <x:v>CWER land-based project breakdown</x:v>
      </x:c>
      <x:c r="B10" t="str">
        <x:v>Site access, staging, and facilities</x:v>
      </x:c>
      <x:c r="C10" s="40" t="n">
        <x:v>47</x:v>
      </x:c>
      <x:c r="D10" t="str">
        <x:v>CIVIL_INFRA</x:v>
      </x:c>
      <x:c r="E10" t="str">
        <x:v>physical</x:v>
      </x:c>
      <x:c r="F10" s="54" t="str">
        <x:v>https://www.nrel.gov/docs/fy25osti/91775.pdf</x:v>
      </x:c>
      <x:c r="G10" s="18" t="str">
        <x:v>NREL CWER 2024 land-based wind cost breakdown</x:v>
      </x:c>
    </x:row>
    <x:row r="11">
      <x:c r="A11" t="str">
        <x:v>CWER land-based project breakdown</x:v>
      </x:c>
      <x:c r="B11" t="str">
        <x:v>Assembly and installation</x:v>
      </x:c>
      <x:c r="C11" s="40" t="n">
        <x:v>100</x:v>
      </x:c>
      <x:c r="D11" t="str">
        <x:v>REPLACEMENT_FIELDWORK</x:v>
      </x:c>
      <x:c r="E11" t="str">
        <x:v>replacement_fieldwork</x:v>
      </x:c>
      <x:c r="F11" s="54" t="str">
        <x:v>https://www.nrel.gov/docs/fy25osti/91775.pdf</x:v>
      </x:c>
      <x:c r="G11" s="18" t="str">
        <x:v>NREL CWER 2024 land-based wind cost breakdown</x:v>
      </x:c>
    </x:row>
    <x:row r="12">
      <x:c r="A12" t="str">
        <x:v>CWER land-based project breakdown</x:v>
      </x:c>
      <x:c r="B12" t="str">
        <x:v>Electrical infrastructure</x:v>
      </x:c>
      <x:c r="C12" s="40" t="n">
        <x:v>72</x:v>
      </x:c>
      <x:c r="D12" t="str">
        <x:v>ELECTRICAL_COLLECTION + SUBSTATION</x:v>
      </x:c>
      <x:c r="E12" t="str">
        <x:v>physical</x:v>
      </x:c>
      <x:c r="F12" s="54" t="str">
        <x:v>https://www.nrel.gov/docs/fy25osti/91775.pdf</x:v>
      </x:c>
      <x:c r="G12" s="18" t="str">
        <x:v>NREL CWER 2024 land-based wind cost breakdown</x:v>
      </x:c>
    </x:row>
    <x:row r="13">
      <x:c r="A13" t="str">
        <x:v>CWER land-based project breakdown</x:v>
      </x:c>
      <x:c r="B13" t="str">
        <x:v>Wind turbine transport</x:v>
      </x:c>
      <x:c r="C13" s="40" t="n">
        <x:v>194</x:v>
      </x:c>
      <x:c r="D13" t="str">
        <x:v>REPLACEMENT_LOGISTICS</x:v>
      </x:c>
      <x:c r="E13" t="str">
        <x:v>replacement_logistics</x:v>
      </x:c>
      <x:c r="F13" s="54" t="str">
        <x:v>https://www.nrel.gov/docs/fy25osti/91775.pdf</x:v>
      </x:c>
      <x:c r="G13" s="18" t="str">
        <x:v>NREL CWER 2024 land-based wind cost breakdown</x:v>
      </x:c>
    </x:row>
    <x:row r="14">
      <x:c r="A14" t="str">
        <x:v>CWER land-based project breakdown</x:v>
      </x:c>
      <x:c r="B14" t="str">
        <x:v>Soft Cost</x:v>
      </x:c>
      <x:c r="C14" s="40" t="n">
        <x:v>295</x:v>
      </x:c>
      <x:c r="D14" t="str">
        <x:v>SUNK_SOFT_NONPHYSICAL</x:v>
      </x:c>
      <x:c r="E14" t="str">
        <x:v>group</x:v>
      </x:c>
      <x:c r="F14" s="54" t="str">
        <x:v>https://www.nrel.gov/docs/fy25osti/91775.pdf</x:v>
      </x:c>
      <x:c r="G14" s="18" t="str">
        <x:v>NREL CWER 2024 land-based wind cost breakdown</x:v>
      </x:c>
    </x:row>
    <x:row r="15">
      <x:c r="A15" t="str">
        <x:v>CWER land-based project breakdown</x:v>
      </x:c>
      <x:c r="B15" t="str">
        <x:v>Construction finance</x:v>
      </x:c>
      <x:c r="C15" s="40" t="n">
        <x:v>111</x:v>
      </x:c>
      <x:c r="D15" t="str">
        <x:v>SUNK_SOFT_NONPHYSICAL</x:v>
      </x:c>
      <x:c r="E15" t="str">
        <x:v>soft/sunk</x:v>
      </x:c>
      <x:c r="F15" s="54" t="str">
        <x:v>https://www.nrel.gov/docs/fy25osti/91775.pdf</x:v>
      </x:c>
      <x:c r="G15" s="18" t="str">
        <x:v>NREL CWER 2024 land-based wind cost breakdown</x:v>
      </x:c>
    </x:row>
    <x:row r="16">
      <x:c r="A16" t="str">
        <x:v>CWER land-based project breakdown</x:v>
      </x:c>
      <x:c r="B16" t="str">
        <x:v>Contingency</x:v>
      </x:c>
      <x:c r="C16" s="40" t="n">
        <x:v>54</x:v>
      </x:c>
      <x:c r="D16" t="str">
        <x:v>SUNK_SOFT_NONPHYSICAL</x:v>
      </x:c>
      <x:c r="E16" t="str">
        <x:v>soft/sunk</x:v>
      </x:c>
      <x:c r="F16" s="54" t="str">
        <x:v>https://www.nrel.gov/docs/fy25osti/91775.pdf</x:v>
      </x:c>
      <x:c r="G16" s="18" t="str">
        <x:v>NREL CWER 2024 land-based wind cost breakdown</x:v>
      </x:c>
    </x:row>
    <x:row r="17">
      <x:c r="A17" t="str">
        <x:v>CWER land-based project breakdown</x:v>
      </x:c>
      <x:c r="B17" t="str">
        <x:v>Wind turbine warranty</x:v>
      </x:c>
      <x:c r="C17" s="40" t="n">
        <x:v>130</x:v>
      </x:c>
      <x:c r="D17" t="str">
        <x:v>SUNK_SOFT_NONPHYSICAL</x:v>
      </x:c>
      <x:c r="E17" t="str">
        <x:v>soft/sunk</x:v>
      </x:c>
      <x:c r="F17" s="54" t="str">
        <x:v>https://www.nrel.gov/docs/fy25osti/91775.pdf</x:v>
      </x:c>
      <x:c r="G17" s="18" t="str">
        <x:v>NREL CWER 2024 land-based wind cost breakdown</x:v>
      </x:c>
    </x:row>
    <x:row r="18">
      <x:c r="A18" t="str">
        <x:v>CWER land-based turbine component appendix</x:v>
      </x:c>
      <x:c r="B18" t="str">
        <x:v>Rotor module</x:v>
      </x:c>
      <x:c r="C18" s="40" t="n">
        <x:v>337</x:v>
      </x:c>
      <x:c r="D18" t="str">
        <x:v>ROTOR_ASSEMBLY</x:v>
      </x:c>
      <x:c r="E18" t="str">
        <x:v>group</x:v>
      </x:c>
      <x:c r="F18" s="54" t="str">
        <x:v>https://www.nrel.gov/docs/fy25osti/91775.pdf</x:v>
      </x:c>
      <x:c r="G18" s="18" t="str">
        <x:v>NREL CWER 2024 appendix component detail</x:v>
      </x:c>
    </x:row>
    <x:row r="19">
      <x:c r="A19" t="str">
        <x:v>CWER land-based turbine component appendix</x:v>
      </x:c>
      <x:c r="B19" t="str">
        <x:v>Blades</x:v>
      </x:c>
      <x:c r="C19" s="40" t="n">
        <x:v>282</x:v>
      </x:c>
      <x:c r="D19" t="str">
        <x:v>ROTOR_ASSEMBLY</x:v>
      </x:c>
      <x:c r="E19" t="str">
        <x:v>BLADE</x:v>
      </x:c>
      <x:c r="F19" s="54" t="str">
        <x:v>https://www.nrel.gov/docs/fy25osti/91775.pdf</x:v>
      </x:c>
      <x:c r="G19" s="18" t="str">
        <x:v>NREL CWER 2024 appendix component detail</x:v>
      </x:c>
    </x:row>
    <x:row r="20">
      <x:c r="A20" t="str">
        <x:v>CWER land-based turbine component appendix</x:v>
      </x:c>
      <x:c r="B20" t="str">
        <x:v>Pitch assembly</x:v>
      </x:c>
      <x:c r="C20" s="40" t="n">
        <x:v>13</x:v>
      </x:c>
      <x:c r="D20" t="str">
        <x:v>PITCH_SYSTEM</x:v>
      </x:c>
      <x:c r="E20" t="str">
        <x:v>PITCH_DRIVE</x:v>
      </x:c>
      <x:c r="F20" s="54" t="str">
        <x:v>https://www.nrel.gov/docs/fy25osti/91775.pdf</x:v>
      </x:c>
      <x:c r="G20" s="18" t="str">
        <x:v>NREL CWER 2024 appendix component detail</x:v>
      </x:c>
    </x:row>
    <x:row r="21">
      <x:c r="A21" t="str">
        <x:v>CWER land-based turbine component appendix</x:v>
      </x:c>
      <x:c r="B21" t="str">
        <x:v>Hub assembly</x:v>
      </x:c>
      <x:c r="C21" s="40" t="n">
        <x:v>42</x:v>
      </x:c>
      <x:c r="D21" t="str">
        <x:v>ROTOR_ASSEMBLY</x:v>
      </x:c>
      <x:c r="E21" t="str">
        <x:v>HUB</x:v>
      </x:c>
      <x:c r="F21" s="54" t="str">
        <x:v>https://www.nrel.gov/docs/fy25osti/91775.pdf</x:v>
      </x:c>
      <x:c r="G21" s="18" t="str">
        <x:v>NREL CWER 2024 appendix component detail</x:v>
      </x:c>
    </x:row>
    <x:row r="22">
      <x:c r="A22" t="str">
        <x:v>CWER land-based turbine component appendix</x:v>
      </x:c>
      <x:c r="B22" t="str">
        <x:v>Nacelle module</x:v>
      </x:c>
      <x:c r="C22" s="40" t="n">
        <x:v>477</x:v>
      </x:c>
      <x:c r="D22" t="str">
        <x:v>NACELLE</x:v>
      </x:c>
      <x:c r="E22" t="str">
        <x:v>group</x:v>
      </x:c>
      <x:c r="F22" s="54" t="str">
        <x:v>https://www.nrel.gov/docs/fy25osti/91775.pdf</x:v>
      </x:c>
      <x:c r="G22" s="18" t="str">
        <x:v>NREL CWER 2024 appendix component detail</x:v>
      </x:c>
    </x:row>
    <x:row r="23">
      <x:c r="A23" t="str">
        <x:v>CWER land-based turbine component appendix</x:v>
      </x:c>
      <x:c r="B23" t="str">
        <x:v>Nacelle structural assembly</x:v>
      </x:c>
      <x:c r="C23" s="40" t="n">
        <x:v>76</x:v>
      </x:c>
      <x:c r="D23" t="str">
        <x:v>NACELLE</x:v>
      </x:c>
      <x:c r="E23" t="str">
        <x:v>NACELLE_STRUCTURE</x:v>
      </x:c>
      <x:c r="F23" s="54" t="str">
        <x:v>https://www.nrel.gov/docs/fy25osti/91775.pdf</x:v>
      </x:c>
      <x:c r="G23" s="18" t="str">
        <x:v>NREL CWER 2024 appendix component detail</x:v>
      </x:c>
    </x:row>
    <x:row r="24">
      <x:c r="A24" t="str">
        <x:v>CWER land-based turbine component appendix</x:v>
      </x:c>
      <x:c r="B24" t="str">
        <x:v>Drivetrain assembly</x:v>
      </x:c>
      <x:c r="C24" s="40" t="n">
        <x:v>236</x:v>
      </x:c>
      <x:c r="D24" t="str">
        <x:v>NACELLE</x:v>
      </x:c>
      <x:c r="E24" t="str">
        <x:v>GEARBOX + GENERATOR_INTERNAL</x:v>
      </x:c>
      <x:c r="F24" s="54" t="str">
        <x:v>https://www.nrel.gov/docs/fy25osti/91775.pdf</x:v>
      </x:c>
      <x:c r="G24" s="18" t="str">
        <x:v>NREL CWER 2024 appendix component detail</x:v>
      </x:c>
    </x:row>
    <x:row r="25">
      <x:c r="A25" t="str">
        <x:v>CWER land-based turbine component appendix</x:v>
      </x:c>
      <x:c r="B25" t="str">
        <x:v>Nacelle electrical assembly</x:v>
      </x:c>
      <x:c r="C25" s="40" t="n">
        <x:v>137</x:v>
      </x:c>
      <x:c r="D25" t="str">
        <x:v>POWER_ELECTRONICS</x:v>
      </x:c>
      <x:c r="E25" t="str">
        <x:v>POWER_CONVERTER</x:v>
      </x:c>
      <x:c r="F25" s="54" t="str">
        <x:v>https://www.nrel.gov/docs/fy25osti/91775.pdf</x:v>
      </x:c>
      <x:c r="G25" s="18" t="str">
        <x:v>NREL CWER 2024 appendix component detail</x:v>
      </x:c>
    </x:row>
    <x:row r="26">
      <x:c r="A26" t="str">
        <x:v>CWER land-based turbine component appendix</x:v>
      </x:c>
      <x:c r="B26" t="str">
        <x:v>Yaw assembly</x:v>
      </x:c>
      <x:c r="C26" s="40" t="n">
        <x:v>28</x:v>
      </x:c>
      <x:c r="D26" t="str">
        <x:v>NACELLE</x:v>
      </x:c>
      <x:c r="E26" t="str">
        <x:v>YAW_SYSTEM</x:v>
      </x:c>
      <x:c r="F26" s="54" t="str">
        <x:v>https://www.nrel.gov/docs/fy25osti/91775.pdf</x:v>
      </x:c>
      <x:c r="G26" s="18" t="str">
        <x:v>NREL CWER 2024 appendix component detail</x:v>
      </x:c>
    </x:row>
    <x:row r="27">
      <x:c r="A27" t="str">
        <x:v>CWER land-based turbine component appendix</x:v>
      </x:c>
      <x:c r="B27" t="str">
        <x:v>Tower module</x:v>
      </x:c>
      <x:c r="C27" s="40" t="n">
        <x:v>276</x:v>
      </x:c>
      <x:c r="D27" t="str">
        <x:v>TOWER</x:v>
      </x:c>
      <x:c r="E27" t="str">
        <x:v>TOWER_SECTION</x:v>
      </x:c>
      <x:c r="F27" s="54" t="str">
        <x:v>https://www.nrel.gov/docs/fy25osti/91775.pdf</x:v>
      </x:c>
      <x:c r="G27" s="18" t="str">
        <x:v>NREL CWER 2024 appendix component detail</x:v>
      </x:c>
    </x:row>
  </x:sheetData>
  <x:pageMargins left="0.7" right="0.7" top="0.75" bottom="0.75" header="0.3" footer="0.3"/>
  <x:tableParts count="1">
    <x:tablePart xmlns:r="http://schemas.openxmlformats.org/officeDocument/2006/relationships" r:id="R809fbddc873d42a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.880000114440918" hidden="0" customWidth="1"/>
    <x:col min="3" max="3" width="70" hidden="0" customWidth="1"/>
    <x:col min="4" max="4" width="55" hidden="0" customWidth="1"/>
    <x:col min="5" max="5" width="55" hidden="0" customWidth="1"/>
  </x:cols>
  <x:sheetData>
    <x:row r="1">
      <x:c r="A1" s="13" t="str">
        <x:v>source_id</x:v>
      </x:c>
      <x:c r="B1" s="13" t="str">
        <x:v>source_type</x:v>
      </x:c>
      <x:c r="C1" s="64" t="str">
        <x:v>url_or_reference</x:v>
      </x:c>
      <x:c r="D1" s="58" t="str">
        <x:v>used_for</x:v>
      </x:c>
      <x:c r="E1" s="58" t="str">
        <x:v>notes</x:v>
      </x:c>
    </x:row>
    <x:row r="2">
      <x:c r="A2" t="str">
        <x:v>NREL_NLR_Q1_2025_PV_BENCHMARK</x:v>
      </x:c>
      <x:c r="B2" t="str">
        <x:v>primary</x:v>
      </x:c>
      <x:c r="C2" t="str">
        <x:v>https://data.nrel.gov/submissions/304</x:v>
      </x:c>
      <x:c r="D2" t="str">
        <x:v>Solar PV benchmark dataset</x:v>
      </x:c>
      <x:c r="E2" t="str">
        <x:v>Dataset includes Excel model, UPV 2025Q1 text file, and benchmark description; last updated March 12, 2026.</x:v>
      </x:c>
    </x:row>
    <x:row r="3">
      <x:c r="A3" t="str">
        <x:v>PVSCM_UPV_2025Q1_TXT</x:v>
      </x:c>
      <x:c r="B3" t="str">
        <x:v>primary</x:v>
      </x:c>
      <x:c r="C3" t="str">
        <x:v>https://data.nlr.gov/system/files/304/1767739491-UPV%202025Q1.txt</x:v>
      </x:c>
      <x:c r="D3" t="str">
        <x:v>Solar raw line items and formulas</x:v>
      </x:c>
      <x:c r="E3" t="str">
        <x:v>Used for module, inverter, SBOS, EBOS, fieldwork, officework, and other line-item calculations.</x:v>
      </x:c>
    </x:row>
    <x:row r="4">
      <x:c r="A4" t="str">
        <x:v>PV_BENCHMARK_DESCRIPTION_2025</x:v>
      </x:c>
      <x:c r="B4" t="str">
        <x:v>primary</x:v>
      </x:c>
      <x:c r="C4" t="str">
        <x:v>https://data.nlr.gov/system/files/304/1767739491-2025%20PV%20System%20Cost%20Benchmarks%20Description.pdf</x:v>
      </x:c>
      <x:c r="D4" t="str">
        <x:v>Solar basis and published summary</x:v>
      </x:c>
      <x:c r="E4" t="str">
        <x:v>Defines MSP/MMP and published PV-only UPV $1.12/Wdc MMP.</x:v>
      </x:c>
    </x:row>
    <x:row r="5">
      <x:c r="A5" t="str">
        <x:v>NREL_CWER_2024</x:v>
      </x:c>
      <x:c r="B5" t="str">
        <x:v>primary</x:v>
      </x:c>
      <x:c r="C5" t="str">
        <x:v>https://www.nrel.gov/docs/fy25osti/91775.pdf</x:v>
      </x:c>
      <x:c r="D5" t="str">
        <x:v>Wind subsystem/component costs</x:v>
      </x:c>
      <x:c r="E5" t="str">
        <x:v>Used for land-based wind project and component CapEx breakdown.</x:v>
      </x:c>
    </x:row>
    <x:row r="6">
      <x:c r="A6" t="str">
        <x:v>LBNL_LAND_BASED_WIND_2024</x:v>
      </x:c>
      <x:c r="B6" t="str">
        <x:v>cross-check</x:v>
      </x:c>
      <x:c r="C6" t="str">
        <x:v>https://eta.lbl.gov/publications/land-based-wind-market-report-2024</x:v>
      </x:c>
      <x:c r="D6" t="str">
        <x:v>Wind empirical installed-cost context</x:v>
      </x:c>
      <x:c r="E6" t="str">
        <x:v>Cross-check only; not used for component allocation.</x:v>
      </x:c>
    </x:row>
    <x:row r="7">
      <x:c r="A7" t="str">
        <x:v>UPLOADED_VALUATION_GUIDE</x:v>
      </x:c>
      <x:c r="B7" t="str">
        <x:v>method</x:v>
      </x:c>
      <x:c r="C7" t="str">
        <x:v>conversation upload: 03_valuation_guide.md</x:v>
      </x:c>
      <x:c r="D7" t="str">
        <x:v>Basis and deliverable spec</x:v>
      </x:c>
      <x:c r="E7" t="str">
        <x:v>Requires basis on each value and explicit physical vs sunk/soft split.</x:v>
      </x:c>
    </x:row>
    <x:row r="8">
      <x:c r="A8" t="str">
        <x:v>UPLOADED_SUBSTRATE_DECOMPOSITION</x:v>
      </x:c>
      <x:c r="B8" t="str">
        <x:v>method</x:v>
      </x:c>
      <x:c r="C8" t="str">
        <x:v>conversation upload: substrate_decomposition.md</x:v>
      </x:c>
      <x:c r="D8" t="str">
        <x:v>Subsystem/component vocabulary</x:v>
      </x:c>
      <x:c r="E8" t="str">
        <x:v>Defines substrate decomposition for solar and wind.</x:v>
      </x:c>
    </x:row>
  </x:sheetData>
  <x:pageMargins left="0.7" right="0.7" top="0.75" bottom="0.75" header="0.3" footer="0.3"/>
  <x:tableParts count="1">
    <x:tablePart xmlns:r="http://schemas.openxmlformats.org/officeDocument/2006/relationships" r:id="R0ab83fb195d64961"/>
  </x:tableParts>
</x:worksheet>
</file>