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8a0829f90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432766d7b74b93"/>
    <x:sheet xmlns:r="http://schemas.openxmlformats.org/officeDocument/2006/relationships" name="Cell_Snapshot" sheetId="2" r:id="Rab6f6aa2cebe4daa"/>
    <x:sheet xmlns:r="http://schemas.openxmlformats.org/officeDocument/2006/relationships" name="Failure_Unit_Coverage" sheetId="3" r:id="Rdba5f8f4337c41f6"/>
    <x:sheet xmlns:r="http://schemas.openxmlformats.org/officeDocument/2006/relationships" name="X_Axis_Decision" sheetId="4" r:id="R321444018c734b13"/>
    <x:sheet xmlns:r="http://schemas.openxmlformats.org/officeDocument/2006/relationships" name="Curve_Record_Blueprint" sheetId="5" r:id="R5ad7e8c5799b46aa"/>
    <x:sheet xmlns:r="http://schemas.openxmlformats.org/officeDocument/2006/relationships" name="Exposure_Geometry" sheetId="6" r:id="Rc1a493c604284e27"/>
    <x:sheet xmlns:r="http://schemas.openxmlformats.org/officeDocument/2006/relationships" name="Selector_Conditioner_Map" sheetId="7" r:id="Rb2252606a35b466c"/>
    <x:sheet xmlns:r="http://schemas.openxmlformats.org/officeDocument/2006/relationships" name="Candidate_Curve_Forms" sheetId="8" r:id="R4653e09378b14ccc"/>
    <x:sheet xmlns:r="http://schemas.openxmlformats.org/officeDocument/2006/relationships" name="Evidence_Source_Map" sheetId="9" r:id="R7d29f229c17d4239"/>
    <x:sheet xmlns:r="http://schemas.openxmlformats.org/officeDocument/2006/relationships" name="Evidence_to_Parameter" sheetId="10" r:id="Rb56f0a0b881b40cf"/>
    <x:sheet xmlns:r="http://schemas.openxmlformats.org/officeDocument/2006/relationships" name="Damage_Code_Interface" sheetId="11" r:id="R0d9b306cf43b4028"/>
    <x:sheet xmlns:r="http://schemas.openxmlformats.org/officeDocument/2006/relationships" name="Derivation_Plan" sheetId="12" r:id="Rdcf782f51f9a468c"/>
    <x:sheet xmlns:r="http://schemas.openxmlformats.org/officeDocument/2006/relationships" name="QA_Review_Checklist" sheetId="13" r:id="R0defaf35cc4b4433"/>
    <x:sheet xmlns:r="http://schemas.openxmlformats.org/officeDocument/2006/relationships" name="Open_Seams" sheetId="14" r:id="R305523ae54954957"/>
    <x:sheet xmlns:r="http://schemas.openxmlformats.org/officeDocument/2006/relationships" name="Lists" sheetId="15" r:id="Rd21298f3994b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91fc0f52e4ff1" /><Relationship Type="http://schemas.openxmlformats.org/officeDocument/2006/relationships/theme" Target="/xl/theme/theme1.xml" Id="R2b7036a2a6bc4f98" /><Relationship Type="http://schemas.openxmlformats.org/officeDocument/2006/relationships/sharedStrings" Target="/xl/sharedStrings.xml" Id="Rba9b9ddfd2424c79" /><Relationship Type="http://schemas.openxmlformats.org/officeDocument/2006/relationships/worksheet" Target="/xl/worksheets/sheet1.xml" Id="R99432766d7b74b93" /><Relationship Type="http://schemas.openxmlformats.org/officeDocument/2006/relationships/worksheet" Target="/xl/worksheets/sheet2.xml" Id="Rab6f6aa2cebe4daa" /><Relationship Type="http://schemas.openxmlformats.org/officeDocument/2006/relationships/worksheet" Target="/xl/worksheets/sheet3.xml" Id="Rdba5f8f4337c41f6" /><Relationship Type="http://schemas.openxmlformats.org/officeDocument/2006/relationships/worksheet" Target="/xl/worksheets/sheet4.xml" Id="R321444018c734b13" /><Relationship Type="http://schemas.openxmlformats.org/officeDocument/2006/relationships/worksheet" Target="/xl/worksheets/sheet5.xml" Id="R5ad7e8c5799b46aa" /><Relationship Type="http://schemas.openxmlformats.org/officeDocument/2006/relationships/worksheet" Target="/xl/worksheets/sheet6.xml" Id="Rc1a493c604284e27" /><Relationship Type="http://schemas.openxmlformats.org/officeDocument/2006/relationships/worksheet" Target="/xl/worksheets/sheet7.xml" Id="Rb2252606a35b466c" /><Relationship Type="http://schemas.openxmlformats.org/officeDocument/2006/relationships/worksheet" Target="/xl/worksheets/sheet8.xml" Id="R4653e09378b14ccc" /><Relationship Type="http://schemas.openxmlformats.org/officeDocument/2006/relationships/worksheet" Target="/xl/worksheets/sheet9.xml" Id="R7d29f229c17d4239" /><Relationship Type="http://schemas.openxmlformats.org/officeDocument/2006/relationships/worksheet" Target="/xl/worksheets/sheet10.xml" Id="Rb56f0a0b881b40cf" /><Relationship Type="http://schemas.openxmlformats.org/officeDocument/2006/relationships/worksheet" Target="/xl/worksheets/sheet11.xml" Id="R0d9b306cf43b4028" /><Relationship Type="http://schemas.openxmlformats.org/officeDocument/2006/relationships/worksheet" Target="/xl/worksheets/sheet12.xml" Id="Rdcf782f51f9a468c" /><Relationship Type="http://schemas.openxmlformats.org/officeDocument/2006/relationships/worksheet" Target="/xl/worksheets/sheet13.xml" Id="R0defaf35cc4b4433" /><Relationship Type="http://schemas.openxmlformats.org/officeDocument/2006/relationships/worksheet" Target="/xl/worksheets/sheet14.xml" Id="R305523ae54954957" /><Relationship Type="http://schemas.openxmlformats.org/officeDocument/2006/relationships/worksheet" Target="/xl/worksheets/sheet15.xml" Id="Rd21298f3994b4a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af4fcc58f440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a8e3cafb244457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'README'!$E$15:$E$19</c:f>
              <c:strCache>
                <c:ptCount val="0"/>
              </c:strCache>
            </c:strRef>
          </c:cat>
          <c:val>
            <c:numRef>
              <c:f>'README'!$F$15:$F$19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Depth above component</c:v>
          </c:tx>
          <c:cat>
            <c:strRef>
              <c:f>'Exposure_Geometry'!$A$11:$A$17</c:f>
              <c:strCache>
                <c:ptCount val="0"/>
              </c:strCache>
            </c:strRef>
          </c:cat>
          <c:val>
            <c:numRef>
              <c:f>'Exposure_Geometry'!$E$11:$E$17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af4fcc58f4404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8e3cafb24445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_Table" displayName="README_Table" ref="A4:C13" headerRowCount="1">
  <x:tableColumns count="3">
    <x:tableColumn id="1" name="Item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ailureCoverage" displayName="FailureCoverage" ref="A4:G18" headerRowCount="1">
  <x:tableColumns count="7">
    <x:tableColumn id="1" name="Subsystem"/>
    <x:tableColumn id="2" name="Component / bucket"/>
    <x:tableColumn id="3" name="v0.1 treatment"/>
    <x:tableColumn id="4" name="Damage-code role"/>
    <x:tableColumn id="5" name="Primary x-axis / trigger"/>
    <x:tableColumn id="6" name="Why / notes"/>
    <x:tableColumn id="7" name="Future metadata signals"/>
  </x:tableColumns>
  <x:tableStyleInfo name="TableStyleMedium2" showRowStripes="1"/>
</x:table>
</file>

<file path=xl/tables/table3.xml><?xml version="1.0" encoding="utf-8"?>
<x:table xmlns:x="http://schemas.openxmlformats.org/spreadsheetml/2006/main" id="3" name="XAxisDecision" displayName="XAxisDecision" ref="A4:F13" headerRowCount="1">
  <x:tableColumns count="6">
    <x:tableColumn id="1" name="Decision item"/>
    <x:tableColumn id="2" name="Accepted / rejected"/>
    <x:tableColumn id="3" name="Axis / variable"/>
    <x:tableColumn id="4" name="Role"/>
    <x:tableColumn id="5" name="Reason / notes"/>
    <x:tableColumn id="6" name="Future treatment"/>
  </x:tableColumns>
  <x:tableStyleInfo name="TableStyleMedium2" showRowStripes="1"/>
</x:table>
</file>

<file path=xl/tables/table4.xml><?xml version="1.0" encoding="utf-8"?>
<x:table xmlns:x="http://schemas.openxmlformats.org/spreadsheetml/2006/main" id="4" name="CurveRecordBlueprint" displayName="CurveRecordBlueprint" ref="A4:O13" headerRowCount="1">
  <x:tableColumns count="15">
    <x:tableColumn id="1" name="curve_record_id"/>
    <x:tableColumn id="2" name="cell_id"/>
    <x:tableColumn id="3" name="failure_unit"/>
    <x:tableColumn id="4" name="subsystem"/>
    <x:tableColumn id="5" name="component"/>
    <x:tableColumn id="6" name="role"/>
    <x:tableColumn id="7" name="x_axis_id"/>
    <x:tableColumn id="8" name="x_axis_unit"/>
    <x:tableColumn id="9" name="candidate_curve_form"/>
    <x:tableColumn id="10" name="value_bucket"/>
    <x:tableColumn id="11" name="selectors"/>
    <x:tableColumn id="12" name="conditioners"/>
    <x:tableColumn id="13" name="exposure_geometry"/>
    <x:tableColumn id="14" name="evidence_status"/>
    <x:tableColumn id="15" name="v1.0 action"/>
  </x:tableColumns>
  <x:tableStyleInfo name="TableStyleMedium2" showRowStripes="1"/>
</x:table>
</file>

<file path=xl/tables/table5.xml><?xml version="1.0" encoding="utf-8"?>
<x:table xmlns:x="http://schemas.openxmlformats.org/spreadsheetml/2006/main" id="5" name="ExposureGeometry" displayName="ExposureGeometry" ref="A10:H17" headerRowCount="1">
  <x:tableColumns count="8">
    <x:tableColumn id="1" name="Component"/>
    <x:tableColumn id="2" name="Subsystem"/>
    <x:tableColumn id="3" name="Critical elevation (m)"/>
    <x:tableColumn id="4" name="WSE (m)"/>
    <x:tableColumn id="5" name="Depth above component (m)"/>
    <x:tableColumn id="6" name="Exposed?"/>
    <x:tableColumn id="7" name="Primary x-axis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electorConditionerMap" displayName="SelectorConditionerMap" ref="A4:F16" headerRowCount="1">
  <x:tableColumns count="6">
    <x:tableColumn id="1" name="variable"/>
    <x:tableColumn id="2" name="class"/>
    <x:tableColumn id="3" name="applies_to"/>
    <x:tableColumn id="4" name="why it matters"/>
    <x:tableColumn id="5" name="damage-code treatment"/>
    <x:tableColumn id="6" name="example values"/>
  </x:tableColumns>
  <x:tableStyleInfo name="TableStyleMedium2" showRowStripes="1"/>
</x:table>
</file>

<file path=xl/tables/table7.xml><?xml version="1.0" encoding="utf-8"?>
<x:table xmlns:x="http://schemas.openxmlformats.org/spreadsheetml/2006/main" id="7" name="CandidateCurveForms" displayName="CandidateCurveForms" ref="A4:F10" headerRowCount="1">
  <x:tableColumns count="6">
    <x:tableColumn id="1" name="curve_form"/>
    <x:tableColumn id="2" name="mathematical idea"/>
    <x:tableColumn id="3" name="use for"/>
    <x:tableColumn id="4" name="why considered"/>
    <x:tableColumn id="5" name="why not always used"/>
    <x:tableColumn id="6" name="v0.1 recommendation"/>
  </x:tableColumns>
  <x:tableStyleInfo name="TableStyleMedium2" showRowStripes="1"/>
</x:table>
</file>

<file path=xl/tables/table8.xml><?xml version="1.0" encoding="utf-8"?>
<x:table xmlns:x="http://schemas.openxmlformats.org/spreadsheetml/2006/main" id="8" name="EvidenceSourceMap" displayName="EvidenceSourceMap" ref="A4:G11" headerRowCount="1">
  <x:tableColumns count="7">
    <x:tableColumn id="1" name="evidence_id"/>
    <x:tableColumn id="2" name="source"/>
    <x:tableColumn id="3" name="type"/>
    <x:tableColumn id="4" name="link"/>
    <x:tableColumn id="5" name="supports"/>
    <x:tableColumn id="6" name="does_not_support"/>
    <x:tableColumn id="7" name="trust_tier"/>
  </x:tableColumns>
  <x:tableStyleInfo name="TableStyleMedium2" showRowStripes="1"/>
</x:table>
</file>

<file path=xl/tables/table9.xml><?xml version="1.0" encoding="utf-8"?>
<x:table xmlns:x="http://schemas.openxmlformats.org/spreadsheetml/2006/main" id="9" name="EvidenceToParameter" displayName="EvidenceToParameter" ref="A4:E12" headerRowCount="1">
  <x:tableColumns count="5">
    <x:tableColumn id="1" name="parameter_or_rule"/>
    <x:tableColumn id="2" name="evidence_id"/>
    <x:tableColumn id="3" name="how used"/>
    <x:tableColumn id="4" name="confidence"/>
    <x:tableColumn id="5" name="v1.0 task"/>
  </x:tableColumns>
  <x:tableStyleInfo name="TableStyleMedium2" showRowStripes="1"/>
</x:table>
</file>

<file path=xl/tables/table10.xml><?xml version="1.0" encoding="utf-8"?>
<x:table xmlns:x="http://schemas.openxmlformats.org/spreadsheetml/2006/main" id="10" name="DamageCodeInterface" displayName="DamageCodeInterface" ref="A4:E20" headerRowCount="1">
  <x:tableColumns count="5">
    <x:tableColumn id="1" name="field"/>
    <x:tableColumn id="2" name="required?"/>
    <x:tableColumn id="3" name="applies_to"/>
    <x:tableColumn id="4" name="description"/>
    <x:tableColumn id="5" name="example"/>
  </x:tableColumns>
  <x:tableStyleInfo name="TableStyleMedium2" showRowStripes="1"/>
</x:table>
</file>

<file path=xl/tables/table11.xml><?xml version="1.0" encoding="utf-8"?>
<x:table xmlns:x="http://schemas.openxmlformats.org/spreadsheetml/2006/main" id="11" name="DerivationPlan" displayName="DerivationPlan" ref="A4:F12" headerRowCount="1">
  <x:tableColumns count="6">
    <x:tableColumn id="1" name="priority"/>
    <x:tableColumn id="2" name="task"/>
    <x:tableColumn id="3" name="failure_unit"/>
    <x:tableColumn id="4" name="why"/>
    <x:tableColumn id="5" name="needed evidence / inputs"/>
    <x:tableColumn id="6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QAReviewChecklist" displayName="QAReviewChecklist" ref="A4:C15" headerRowCount="1">
  <x:tableColumns count="3">
    <x:tableColumn id="1" name="check"/>
    <x:tableColumn id="2" name="status"/>
    <x:tableColumn id="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OpenSeams" displayName="OpenSeams" ref="A4:E11" headerRowCount="1">
  <x:tableColumns count="5">
    <x:tableColumn id="1" name="open_seam_id"/>
    <x:tableColumn id="2" name="severity"/>
    <x:tableColumn id="3" name="description"/>
    <x:tableColumn id="4" name="why it matters"/>
    <x:tableColumn id="5" name="update trigg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fbd77ad61441f5" /><Relationship Type="http://schemas.openxmlformats.org/officeDocument/2006/relationships/table" Target="/xl/tables/table1.xml" Id="R06885b2d66b4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2464cdfe2f4c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03da9cdc2f44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55dc2b843647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554a3a4f81d046ff" /><Relationship Type="http://schemas.openxmlformats.org/officeDocument/2006/relationships/table" Target="/xl/tables/table5.xml" Id="Rb423e62be1bc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a398a706514c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a631b088114e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ec3de7d30649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6b8160785c46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f127e680ae041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4b6fe934a6a43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51dfe9efc154eb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95c9e7cb897492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Damage-Curve Records Workbook v0.1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Scaffold package: coverage, x-axis, metadata, evidence plan, and derivation structure. Not a final calibrated curve.</x:v>
      </x:c>
    </x:row>
    <x:row r="4">
      <x:c r="A4" s="19" t="str">
        <x:v>Item</x:v>
      </x:c>
      <x:c r="B4" s="19" t="str">
        <x:v>Value</x:v>
      </x:c>
      <x:c r="C4" s="19" t="str">
        <x:v>Notes</x:v>
      </x:c>
      <x:c r="D4" s="24"/>
      <x:c r="E4" s="18" t="str">
        <x:v>v0.1 KPIs</x:v>
      </x:c>
      <x:c r="F4" s="24"/>
      <x:c r="G4" s="24"/>
      <x:c r="H4" s="24"/>
      <x:c r="I4" s="24"/>
      <x:c r="J4" s="24"/>
    </x:row>
    <x:row r="5">
      <x:c r="A5" s="24" t="str">
        <x:v>Cell ID</x:v>
      </x:c>
      <x:c r="B5" s="24" t="str">
        <x:v>FLOOD_SOLAR</x:v>
      </x:c>
      <x:c r="C5" s="24" t="str">
        <x:v>Second archetype cell after hail × solar.</x:v>
      </x:c>
      <x:c r="D5" s="24"/>
      <x:c r="E5" s="32" t="str">
        <x:v>Metric</x:v>
      </x:c>
      <x:c r="F5" s="32" t="str">
        <x:v>Formula / value</x:v>
      </x:c>
      <x:c r="G5" s="24"/>
      <x:c r="H5" s="24"/>
      <x:c r="I5" s="24"/>
      <x:c r="J5" s="24"/>
    </x:row>
    <x:row r="6">
      <x:c r="A6" s="24" t="str">
        <x:v>Version</x:v>
      </x:c>
      <x:c r="B6" s="24" t="str">
        <x:v>v0.1</x:v>
      </x:c>
      <x:c r="C6" s="24" t="str">
        <x:v>Coverage + x-axis + evidence-plan scaffold.</x:v>
      </x:c>
      <x:c r="D6" s="24"/>
      <x:c r="E6" s="24" t="str">
        <x:v>Candidate curve records</x:v>
      </x:c>
      <x:c r="F6" s="24" t="n">
        <x:v>9</x:v>
      </x:c>
      <x:c r="G6" s="24"/>
      <x:c r="H6" s="24"/>
      <x:c r="I6" s="24"/>
      <x:c r="J6" s="24"/>
    </x:row>
    <x:row r="7">
      <x:c r="A7" s="24" t="str">
        <x:v>Primary purpose</x:v>
      </x:c>
      <x:c r="B7" s="24" t="str">
        <x:v>Define damage-code granularity and format</x:v>
      </x:c>
      <x:c r="C7" s="24" t="str">
        <x:v>Downstream hazard catalog and financial metrics are separate.</x:v>
      </x:c>
      <x:c r="D7" s="24"/>
      <x:c r="E7" s="24" t="str">
        <x:v>Primary nonzero records</x:v>
      </x:c>
      <x:c r="F7" s="24" t="n">
        <x:v>4</x:v>
      </x:c>
      <x:c r="G7" s="24"/>
      <x:c r="H7" s="24"/>
      <x:c r="I7" s="24"/>
      <x:c r="J7" s="24"/>
    </x:row>
    <x:row r="8">
      <x:c r="A8" s="24" t="str">
        <x:v>Modeling unit</x:v>
      </x:c>
      <x:c r="B8" s="24" t="str">
        <x:v>Failure-unit curve record</x:v>
      </x:c>
      <x:c r="C8" s="24" t="str">
        <x:v>One row per component/failure mechanism.</x:v>
      </x:c>
      <x:c r="D8" s="24"/>
      <x:c r="E8" s="24" t="str">
        <x:v>Secondary/conditional records</x:v>
      </x:c>
      <x:c r="F8" s="24" t="n">
        <x:v>5</x:v>
      </x:c>
      <x:c r="G8" s="24"/>
      <x:c r="H8" s="24"/>
      <x:c r="I8" s="24"/>
      <x:c r="J8" s="24"/>
    </x:row>
    <x:row r="9">
      <x:c r="A9" s="24" t="str">
        <x:v>Project-management unit</x:v>
      </x:c>
      <x:c r="B9" s="24" t="str">
        <x:v>Hazard × asset cell</x:v>
      </x:c>
      <x:c r="C9" s="24" t="str">
        <x:v>Flood × solar.</x:v>
      </x:c>
      <x:c r="D9" s="24"/>
      <x:c r="E9" s="24" t="str">
        <x:v>Evidence sources mapped</x:v>
      </x:c>
      <x:c r="F9" s="24" t="n">
        <x:v>7</x:v>
      </x:c>
      <x:c r="G9" s="24"/>
      <x:c r="H9" s="24"/>
      <x:c r="I9" s="24"/>
      <x:c r="J9" s="24"/>
    </x:row>
    <x:row r="10">
      <x:c r="A10" s="24" t="str">
        <x:v>Value-link unit</x:v>
      </x:c>
      <x:c r="B10" s="24" t="str">
        <x:v>Subsystem/component bucket</x:v>
      </x:c>
      <x:c r="C10" s="24" t="str">
        <x:v>Attach to valuation ledger later.</x:v>
      </x:c>
      <x:c r="D10" s="24"/>
      <x:c r="E10" s="24" t="str">
        <x:v>Open seams</x:v>
      </x:c>
      <x:c r="F10" s="24" t="n">
        <x:v>7</x:v>
      </x:c>
      <x:c r="G10" s="24"/>
      <x:c r="H10" s="24"/>
      <x:c r="I10" s="24"/>
      <x:c r="J10" s="24"/>
    </x:row>
    <x:row r="11">
      <x:c r="A11" s="24" t="str">
        <x:v>Primary x-axis family</x:v>
      </x:c>
      <x:c r="B11" s="24" t="str">
        <x:v>Depth above component datum</x:v>
      </x:c>
      <x:c r="C11" s="24" t="str">
        <x:v>For electrical ingress / inundation.</x:v>
      </x:c>
      <x:c r="D11" s="24"/>
      <x:c r="E11" s="24" t="str">
        <x:v>Numeric curve status</x:v>
      </x:c>
      <x:c r="F11" s="24" t="str">
        <x:v>Not final</x:v>
      </x:c>
      <x:c r="G11" s="24"/>
      <x:c r="H11" s="24"/>
      <x:c r="I11" s="24"/>
      <x:c r="J11" s="24"/>
    </x:row>
    <x:row r="12">
      <x:c r="A12" s="24" t="str">
        <x:v>Secondary x-axis family</x:v>
      </x:c>
      <x:c r="B12" s="24" t="str">
        <x:v>Velocity / scour proxy</x:v>
      </x:c>
      <x:c r="C12" s="24" t="str">
        <x:v>For foundation/civil pathways.</x:v>
      </x:c>
      <x:c r="D12" s="24"/>
      <x:c r="E12" s="24"/>
      <x:c r="F12" s="24"/>
      <x:c r="G12" s="24"/>
      <x:c r="H12" s="24"/>
      <x:c r="I12" s="24"/>
      <x:c r="J12" s="24"/>
    </x:row>
    <x:row r="13">
      <x:c r="A13" s="24" t="str">
        <x:v>Curve final?</x:v>
      </x:c>
      <x:c r="B13" s="24" t="str">
        <x:v>No</x:v>
      </x:c>
      <x:c r="C13" s="24" t="str">
        <x:v>v1.0 should derive numeric curves.</x:v>
      </x:c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32" t="str">
        <x:v>Treatment</x:v>
      </x:c>
      <x:c r="F14" s="32" t="str">
        <x:v>Count</x:v>
      </x:c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 t="str">
        <x:v>Primary nonzero</x:v>
      </x:c>
      <x:c r="F15" s="24" t="n">
        <x:v>4</x:v>
      </x:c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 t="str">
        <x:v>Secondary/conditional</x:v>
      </x:c>
      <x:c r="F16" s="24" t="n">
        <x:v>5</x:v>
      </x:c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 t="str">
        <x:v>Modifier/protection</x:v>
      </x:c>
      <x:c r="F17" s="24" t="n">
        <x:v>1</x:v>
      </x:c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 t="str">
        <x:v>Reviewed secondary</x:v>
      </x:c>
      <x:c r="F18" s="24" t="n">
        <x:v>2</x:v>
      </x:c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 t="str">
        <x:v>Open seam</x:v>
      </x:c>
      <x:c r="F19" s="24" t="n">
        <x:v>7</x:v>
      </x:c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</x:sheetData>
  <x:mergeCells>
    <x:mergeCell ref="A1:J1"/>
    <x:mergeCell ref="A2:J2"/>
    <x:mergeCell ref="E4:J4"/>
  </x:mergeCells>
  <x:pageMargins left="0.7" right="0.7" top="0.75" bottom="0.75" header="0.3" footer="0.3"/>
  <x:drawing xmlns:r="http://schemas.openxmlformats.org/officeDocument/2006/relationships" r:id="Rdafbd77ad61441f5"/>
  <x:tableParts count="1">
    <x:tablePart xmlns:r="http://schemas.openxmlformats.org/officeDocument/2006/relationships" r:id="R06885b2d66b44783"/>
  </x:tableParts>
</x:worksheet>
</file>

<file path=xl/worksheets/sheet2.xml><?xml version="1.0" encoding="utf-8"?>
<x:worksheet xmlns:x="http://schemas.openxmlformats.org/spreadsheetml/2006/main">
  <x:sheetFormatPr defaultRowHeight="15"/>
  <x:cols>
    <x:col min="2" max="2" width="28" hidden="0" customWidth="1"/>
    <x:col min="1" max="1" width="24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Cell Snapshot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One-page identity tree: what is primary, secondary, modifier-only, and DR≈0 in v0.1.</x:v>
      </x:c>
    </x:row>
    <x:row r="4">
      <x:c r="A4" s="19" t="str">
        <x:v>Layer</x:v>
      </x:c>
      <x:c r="B4" s="19" t="str">
        <x:v>Contents</x:v>
      </x:c>
    </x:row>
    <x:row r="5" ht="72" customHeight="1">
      <x:c r="A5" s="24" t="str">
        <x:v>Primary nonzero failure-units</x:v>
      </x:c>
      <x:c r="B5" s="24" t="str">
        <x:v>INVERTER_SYSTEM / INVERTER / cabinet-skid inundation
SUBSTATION / SWITCHGEAR / cabinet inundation
SUBSTATION / TRANSFORMER_MAIN / transformer-control inundation
INVERTER_SYSTEM / COMBINER_BOX + DC_PROTECTION / enclosure inundation
SCADA / MONITORING_SYSTEM / control-cabinet inundation</x:v>
      </x:c>
    </x:row>
    <x:row r="6" ht="72" customHeight="1">
      <x:c r="A6" s="24" t="str">
        <x:v>Conditional / secondary failure-units</x:v>
      </x:c>
      <x:c r="B6" s="24" t="str">
        <x:v>ELECTRICAL_COLLECTION / CABLE_AC + CABLE_DC / conduit-trench water path
FOUNDATION / FOUNDATION_BASE / scour or wet-soil support degradation
CIVIL_INFRA / roads-access-fencing / erosion or debris
PV_ARRAY / PV_MODULE / total submersion or debris impact
MOUNTING / RACKING_STRUCTURE / debris-velocity load, if applicable</x:v>
      </x:c>
    </x:row>
    <x:row r="7" ht="72" customHeight="1">
      <x:c r="A7" s="24" t="str">
        <x:v>Protection / exposure modifiers</x:v>
      </x:c>
      <x:c r="B7" s="24" t="str">
        <x:v>SITE_DRAINAGE / DRAINAGE_SYSTEM capacity exceedance
SITE_DRAINAGE / FLOOD_DEFENSE overtopping/failure
equipment pad elevation/freeboard
conduit slope/drain path/sealing
shutdown / energized state before inundation</x:v>
      </x:c>
    </x:row>
    <x:row r="8" ht="72" customHeight="1">
      <x:c r="A8" s="24" t="str">
        <x:v>DR≈0 direct-flood buckets in v0.1</x:v>
      </x:c>
      <x:c r="B8" s="24" t="str">
        <x:v>Any equipment whose critical elevation is above the water surface and has no alternate conduit/water-ingress path.</x:v>
      </x:c>
    </x:row>
    <x:row r="9" ht="72" customHeight="1">
      <x:c r="A9" s="24" t="str">
        <x:v>Key wording</x:v>
      </x:c>
      <x:c r="B9" s="24" t="str">
        <x:v>Flood × solar is a multi-failure-unit geometry cell. Do not model as one whole-asset flood-depth curve.</x:v>
      </x:c>
    </x:row>
    <x:row r="10" ht="72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Failure-Unit Coverage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Reviewed subsystem/component coverage and v0.1 treatment.</x:v>
      </x:c>
    </x:row>
    <x:row r="4">
      <x:c r="A4" s="19" t="str">
        <x:v>Subsystem</x:v>
      </x:c>
      <x:c r="B4" s="19" t="str">
        <x:v>Component / bucket</x:v>
      </x:c>
      <x:c r="C4" s="19" t="str">
        <x:v>v0.1 treatment</x:v>
      </x:c>
      <x:c r="D4" s="19" t="str">
        <x:v>Damage-code role</x:v>
      </x:c>
      <x:c r="E4" s="19" t="str">
        <x:v>Primary x-axis / trigger</x:v>
      </x:c>
      <x:c r="F4" s="19" t="str">
        <x:v>Why / notes</x:v>
      </x:c>
      <x:c r="G4" s="19" t="str">
        <x:v>Future metadata signals</x:v>
      </x:c>
    </x:row>
    <x:row r="5">
      <x:c r="A5" s="24" t="str">
        <x:v>INVERTER_SYSTEM</x:v>
      </x:c>
      <x:c r="B5" s="24" t="str">
        <x:v>INVERTER / cabinet-skid</x:v>
      </x:c>
      <x:c r="C5" s="24" t="str">
        <x:v>Primary nonzero</x:v>
      </x:c>
      <x:c r="D5" s="24" t="str">
        <x:v>failure_unit.primary</x:v>
      </x:c>
      <x:c r="E5" s="24" t="str">
        <x:v>Water depth above inverter critical elevation</x:v>
      </x:c>
      <x:c r="F5" s="24" t="str">
        <x:v>Inverters are flood-sensitive electrical equipment; cabinet/skid inundation is one of the most material solar flood failure-units.</x:v>
      </x:c>
      <x:c r="G5" s="24" t="str">
        <x:v>inverter_pad_elev_m; cabinet_entry_elev_m; NEMA/IP rating; central vs string; energized_state; contamination</x:v>
      </x:c>
    </x:row>
    <x:row r="6">
      <x:c r="A6" s="24" t="str">
        <x:v>SUBSTATION</x:v>
      </x:c>
      <x:c r="B6" s="24" t="str">
        <x:v>SWITCHGEAR</x:v>
      </x:c>
      <x:c r="C6" s="24" t="str">
        <x:v>Primary nonzero</x:v>
      </x:c>
      <x:c r="D6" s="24" t="str">
        <x:v>failure_unit.primary</x:v>
      </x:c>
      <x:c r="E6" s="24" t="str">
        <x:v>Water depth above switchgear critical elevation</x:v>
      </x:c>
      <x:c r="F6" s="24" t="str">
        <x:v>Switchgear/cabinets are high-safety and high-restoration-cost equipment; water ingress can trigger replacement or reconditioning.</x:v>
      </x:c>
      <x:c r="G6" s="24" t="str">
        <x:v>switchgear_elev_m; cabinet_rating; control-house vs outdoor; energized_state; salt/contamination</x:v>
      </x:c>
    </x:row>
    <x:row r="7">
      <x:c r="A7" s="24" t="str">
        <x:v>SUBSTATION</x:v>
      </x:c>
      <x:c r="B7" s="24" t="str">
        <x:v>TRANSFORMER_MAIN / controls</x:v>
      </x:c>
      <x:c r="C7" s="24" t="str">
        <x:v>Primary nonzero</x:v>
      </x:c>
      <x:c r="D7" s="24" t="str">
        <x:v>failure_unit.primary</x:v>
      </x:c>
      <x:c r="E7" s="24" t="str">
        <x:v>Water depth above transformer/control critical elevation</x:v>
      </x:c>
      <x:c r="F7" s="24" t="str">
        <x:v>Transformer exposure may split between controls/terminal boxes and main transformer body; both are plant-scope material buckets.</x:v>
      </x:c>
      <x:c r="G7" s="24" t="str">
        <x:v>transformer_base_elev_m; control_cabinet_elev_m; transformer_type; oil-filled flag; contamination</x:v>
      </x:c>
    </x:row>
    <x:row r="8">
      <x:c r="A8" s="24" t="str">
        <x:v>INVERTER_SYSTEM</x:v>
      </x:c>
      <x:c r="B8" s="24" t="str">
        <x:v>COMBINER_BOX + DC_PROTECTION</x:v>
      </x:c>
      <x:c r="C8" s="24" t="str">
        <x:v>Primary or secondary nonzero</x:v>
      </x:c>
      <x:c r="D8" s="24" t="str">
        <x:v>failure_unit.secondary_or_primary</x:v>
      </x:c>
      <x:c r="E8" s="24" t="str">
        <x:v>Water depth above enclosure/cable-entry elevation</x:v>
      </x:c>
      <x:c r="F8" s="24" t="str">
        <x:v>Distributed enclosures may be lower to ground; many small units can accumulate material loss or create isolation/repair scope.</x:v>
      </x:c>
      <x:c r="G8" s="24" t="str">
        <x:v>combiner_mount_height; enclosure_rating; cable_entry_height; DC protection type; energized_state</x:v>
      </x:c>
    </x:row>
    <x:row r="9">
      <x:c r="A9" s="24" t="str">
        <x:v>SCADA</x:v>
      </x:c>
      <x:c r="B9" s="24" t="str">
        <x:v>MONITORING_SYSTEM / control cabinet</x:v>
      </x:c>
      <x:c r="C9" s="24" t="str">
        <x:v>Secondary nonzero</x:v>
      </x:c>
      <x:c r="D9" s="24" t="str">
        <x:v>failure_unit.secondary</x:v>
      </x:c>
      <x:c r="E9" s="24" t="str">
        <x:v>Water depth above cabinet/electronics elevation</x:v>
      </x:c>
      <x:c r="F9" s="24" t="str">
        <x:v>Lower value share but high operational importance; can be a control/downtime driver.</x:v>
      </x:c>
      <x:c r="G9" s="24" t="str">
        <x:v>cabinet_elev_m; electronics_elev_m; NEMA/IP rating; redundancy</x:v>
      </x:c>
    </x:row>
    <x:row r="10">
      <x:c r="A10" s="24" t="str">
        <x:v>ELECTRICAL_COLLECTION</x:v>
      </x:c>
      <x:c r="B10" s="24" t="str">
        <x:v>CABLE_AC / CABLE_DC / conduit/pull boxes</x:v>
      </x:c>
      <x:c r="C10" s="24" t="str">
        <x:v>Conditional secondary</x:v>
      </x:c>
      <x:c r="D10" s="24" t="str">
        <x:v>pathway_modifier_or_secondary_curve</x:v>
      </x:c>
      <x:c r="E10" s="24" t="str">
        <x:v>Water depth above conduit/pullbox entry OR water-path present</x:v>
      </x:c>
      <x:c r="F10" s="24" t="str">
        <x:v>DOE/FEMP highlights floodwater entering pull boxes/conduits and traveling to inverters/switchgear.</x:v>
      </x:c>
      <x:c r="G10" s="24" t="str">
        <x:v>conduit_slope; pullbox_elev_m; drain/seal details; cable type; burial/trench type</x:v>
      </x:c>
    </x:row>
    <x:row r="11">
      <x:c r="A11" s="24" t="str">
        <x:v>FOUNDATION</x:v>
      </x:c>
      <x:c r="B11" s="24" t="str">
        <x:v>FOUNDATION_BASE / piles / pads</x:v>
      </x:c>
      <x:c r="C11" s="24" t="str">
        <x:v>Conditional nonzero</x:v>
      </x:c>
      <x:c r="D11" s="24" t="str">
        <x:v>separate_scour_curve</x:v>
      </x:c>
      <x:c r="E11" s="24" t="str">
        <x:v>Flow velocity or depth-velocity/scour proxy</x:v>
      </x:c>
      <x:c r="F11" s="24" t="str">
        <x:v>Wet soil and scour can undermine piles/pads; not the same mechanism as electrical ingress.</x:v>
      </x:c>
      <x:c r="G11" s="24" t="str">
        <x:v>foundation_type; soil_erodibility; slope position; velocity; duration; debris loading</x:v>
      </x:c>
    </x:row>
    <x:row r="12">
      <x:c r="A12" s="24" t="str">
        <x:v>CIVIL_INFRA</x:v>
      </x:c>
      <x:c r="B12" s="24" t="str">
        <x:v>roads / access / fencing / grading</x:v>
      </x:c>
      <x:c r="C12" s="24" t="str">
        <x:v>Conditional secondary</x:v>
      </x:c>
      <x:c r="D12" s="24" t="str">
        <x:v>secondary_civil_curve_or_downtime_note</x:v>
      </x:c>
      <x:c r="E12" s="24" t="str">
        <x:v>Velocity, erosion, debris, access loss</x:v>
      </x:c>
      <x:c r="F12" s="24" t="str">
        <x:v>May be repairable civil damage or downtime/access issue; not always a replacement loss bucket.</x:v>
      </x:c>
      <x:c r="G12" s="24" t="str">
        <x:v>road_elev_m; drainage; culverts; access redundancy; debris exposure</x:v>
      </x:c>
    </x:row>
    <x:row r="13">
      <x:c r="A13" s="24" t="str">
        <x:v>PV_ARRAY</x:v>
      </x:c>
      <x:c r="B13" s="24" t="str">
        <x:v>PV_MODULE</x:v>
      </x:c>
      <x:c r="C13" s="24" t="str">
        <x:v>Reviewed secondary</x:v>
      </x:c>
      <x:c r="D13" s="24" t="str">
        <x:v>reviewed_secondary_conditional</x:v>
      </x:c>
      <x:c r="E13" s="24" t="str">
        <x:v>Total submersion / debris impact if water reaches module lower edge</x:v>
      </x:c>
      <x:c r="F13" s="24" t="str">
        <x:v>DOE/FEMP notes submerged solar components require replacement, but modules are often elevated; not the first default flood curve unless exposed.</x:v>
      </x:c>
      <x:c r="G13" s="24" t="str">
        <x:v>module_lower_edge_elev_m; array_height; debris exposure; water depth; duration</x:v>
      </x:c>
    </x:row>
    <x:row r="14">
      <x:c r="A14" s="24" t="str">
        <x:v>MOUNTING</x:v>
      </x:c>
      <x:c r="B14" s="24" t="str">
        <x:v>RACKING_STRUCTURE / TRACKER</x:v>
      </x:c>
      <x:c r="C14" s="24" t="str">
        <x:v>Reviewed secondary</x:v>
      </x:c>
      <x:c r="D14" s="24" t="str">
        <x:v>reviewed_secondary_conditional</x:v>
      </x:c>
      <x:c r="E14" s="24" t="str">
        <x:v>Velocity/debris loading or undermined supports</x:v>
      </x:c>
      <x:c r="F14" s="24" t="str">
        <x:v>Generally not depth-ingress equipment; damage is structural/debris/scour, not electrical submersion.</x:v>
      </x:c>
      <x:c r="G14" s="24" t="str">
        <x:v>racking_height; tracker type; foundation/pile type; debris loading; velocity</x:v>
      </x:c>
    </x:row>
    <x:row r="15">
      <x:c r="A15" s="24" t="str">
        <x:v>SITE_DRAINAGE</x:v>
      </x:c>
      <x:c r="B15" s="24" t="str">
        <x:v>DRAINAGE_SYSTEM / FLOOD_DEFENSE</x:v>
      </x:c>
      <x:c r="C15" s="24" t="str">
        <x:v>Protection / exposure modifier</x:v>
      </x:c>
      <x:c r="D15" s="24" t="str">
        <x:v>exposure_modifier</x:v>
      </x:c>
      <x:c r="E15" s="24" t="str">
        <x:v>Capacity exceedance / overtopping / blockage</x:v>
      </x:c>
      <x:c r="F15" s="24" t="str">
        <x:v>Changes whether floodwater reaches equipment; may also have repair cost if defenses fail.</x:v>
      </x:c>
      <x:c r="G15" s="24" t="str">
        <x:v>drainage_capacity; berm/floodwall height; pump availability; maintenance state</x:v>
      </x:c>
    </x:row>
    <x:row r="16">
      <x:c r="A16" s="24" t="str">
        <x:v>AUXILIARY_POWER</x:v>
      </x:c>
      <x:c r="B16" s="24" t="str">
        <x:v>UPS_SYSTEM / BACKUP_GENSET</x:v>
      </x:c>
      <x:c r="C16" s="24" t="str">
        <x:v>Conditional secondary</x:v>
      </x:c>
      <x:c r="D16" s="24" t="str">
        <x:v>secondary_or_conditioner</x:v>
      </x:c>
      <x:c r="E16" s="24" t="str">
        <x:v>Water depth above equipment critical elevation</x:v>
      </x:c>
      <x:c r="F16" s="24" t="str">
        <x:v>May influence safe shutdown / recovery; nonzero if generator/UPS is flooded.</x:v>
      </x:c>
      <x:c r="G16" s="24" t="str">
        <x:v>aux_power_elev_m; backup availability; shutdown state</x:v>
      </x:c>
    </x:row>
    <x:row r="17">
      <x:c r="A17" s="24" t="str">
        <x:v>GROUNDING_LIGHTNING</x:v>
      </x:c>
      <x:c r="B17" s="24" t="str">
        <x:v>GROUNDING_GRID / SURGE_PROTECTION</x:v>
      </x:c>
      <x:c r="C17" s="24" t="str">
        <x:v>Reviewed secondary</x:v>
      </x:c>
      <x:c r="D17" s="24" t="str">
        <x:v>reviewed_secondary</x:v>
      </x:c>
      <x:c r="E17" s="24" t="str">
        <x:v>Water exposure / corrosion; not primary direct flood curve in v0.1</x:v>
      </x:c>
      <x:c r="F17" s="24" t="str">
        <x:v>Flood/wet soil can affect grounding/corrosion, but not a primary v0.1 damage curve.</x:v>
      </x:c>
      <x:c r="G17" s="24" t="str">
        <x:v>grounding condition; corrosion exposure; inspection results</x:v>
      </x:c>
    </x:row>
    <x:row r="18">
      <x:c r="A18" s="24" t="str">
        <x:v>FIRE_PROTECTION</x:v>
      </x:c>
      <x:c r="B18" s="24" t="str">
        <x:v>FIRE_DETECTION / FIRE_SUPPRESSION</x:v>
      </x:c>
      <x:c r="C18" s="24" t="str">
        <x:v>Reviewed secondary</x:v>
      </x:c>
      <x:c r="D18" s="24" t="str">
        <x:v>reviewed_secondary</x:v>
      </x:c>
      <x:c r="E18" s="24" t="str">
        <x:v>Water depth above cabinet/equipment datum</x:v>
      </x:c>
      <x:c r="F18" s="24" t="str">
        <x:v>May be damaged if equipment cabinets are flooded; not a primary energy-production value bucket.</x:v>
      </x:c>
      <x:c r="G18" s="24" t="str">
        <x:v>cabinet elevation; system type; post-event inspection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2464cdfe2f4c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X-Axis Decision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Accepted/rejected axes and why. Depth is component-relative, not whole-site only.</x:v>
      </x:c>
    </x:row>
    <x:row r="4">
      <x:c r="A4" s="19" t="str">
        <x:v>Decision item</x:v>
      </x:c>
      <x:c r="B4" s="19" t="str">
        <x:v>Accepted / rejected</x:v>
      </x:c>
      <x:c r="C4" s="19" t="str">
        <x:v>Axis / variable</x:v>
      </x:c>
      <x:c r="D4" s="19" t="str">
        <x:v>Role</x:v>
      </x:c>
      <x:c r="E4" s="19" t="str">
        <x:v>Reason / notes</x:v>
      </x:c>
      <x:c r="F4" s="19" t="str">
        <x:v>Future treatment</x:v>
      </x:c>
    </x:row>
    <x:row r="5">
      <x:c r="A5" s="24" t="str">
        <x:v>Electrical ingress primary axis</x:v>
      </x:c>
      <x:c r="B5" s="24" t="str">
        <x:v>Accepted</x:v>
      </x:c>
      <x:c r="C5" s="24" t="str">
        <x:v>FLOOD_DEPTH_ABOVE_COMPONENT_DATUM</x:v>
      </x:c>
      <x:c r="D5" s="24" t="str">
        <x:v>x-axis</x:v>
      </x:c>
      <x:c r="E5" s="24" t="str">
        <x:v>Water damage depends on whether water reaches the vulnerable part of each component.</x:v>
      </x:c>
      <x:c r="F5" s="24" t="str">
        <x:v>Use for inverter, switchgear, transformer controls, combiner, SCADA.</x:v>
      </x:c>
    </x:row>
    <x:row r="6">
      <x:c r="A6" s="24" t="str">
        <x:v>Absolute water surface elevation</x:v>
      </x:c>
      <x:c r="B6" s="24" t="str">
        <x:v>Accepted upstream</x:v>
      </x:c>
      <x:c r="C6" s="24" t="str">
        <x:v>WATER_SURFACE_ELEVATION</x:v>
      </x:c>
      <x:c r="D6" s="24" t="str">
        <x:v>hazard input</x:v>
      </x:c>
      <x:c r="E6" s="24" t="str">
        <x:v>Needed when component elevations are on a common datum.</x:v>
      </x:c>
      <x:c r="F6" s="24" t="str">
        <x:v>Transform to component-specific depth above datum.</x:v>
      </x:c>
    </x:row>
    <x:row r="7">
      <x:c r="A7" s="24" t="str">
        <x:v>Local flood depth above grade</x:v>
      </x:c>
      <x:c r="B7" s="24" t="str">
        <x:v>Accepted fallback</x:v>
      </x:c>
      <x:c r="C7" s="24" t="str">
        <x:v>LOCAL_FLOOD_DEPTH_ABOVE_GRADE</x:v>
      </x:c>
      <x:c r="D7" s="24" t="str">
        <x:v>hazard input / proxy</x:v>
      </x:c>
      <x:c r="E7" s="24" t="str">
        <x:v>Useful if absolute elevations are missing; must be paired with component heights above grade.</x:v>
      </x:c>
      <x:c r="F7" s="24" t="str">
        <x:v>Use local grade transform.</x:v>
      </x:c>
    </x:row>
    <x:row r="8">
      <x:c r="A8" s="24" t="str">
        <x:v>Flow velocity</x:v>
      </x:c>
      <x:c r="B8" s="24" t="str">
        <x:v>Accepted for separate pathway</x:v>
      </x:c>
      <x:c r="C8" s="24" t="str">
        <x:v>FLOOD_FLOW_VELOCITY_MPS</x:v>
      </x:c>
      <x:c r="D8" s="24" t="str">
        <x:v>x-axis</x:v>
      </x:c>
      <x:c r="E8" s="24" t="str">
        <x:v>Scour, erosion, debris, pile/pad undermining are velocity/load pathways.</x:v>
      </x:c>
      <x:c r="F8" s="24" t="str">
        <x:v>Separate curve; do not collapse into electrical depth.</x:v>
      </x:c>
    </x:row>
    <x:row r="9">
      <x:c r="A9" s="24" t="str">
        <x:v>Depth × velocity proxy</x:v>
      </x:c>
      <x:c r="B9" s="24" t="str">
        <x:v>Conditional</x:v>
      </x:c>
      <x:c r="C9" s="24" t="str">
        <x:v>DEPTH_VELOCITY_PROXY</x:v>
      </x:c>
      <x:c r="D9" s="24" t="str">
        <x:v>possible x-axis</x:v>
      </x:c>
      <x:c r="E9" s="24" t="str">
        <x:v>May be useful if civil sources define combined hydraulic intensity.</x:v>
      </x:c>
      <x:c r="F9" s="24" t="str">
        <x:v>Only use if source supports it.</x:v>
      </x:c>
    </x:row>
    <x:row r="10">
      <x:c r="A10" s="24" t="str">
        <x:v>Duration</x:v>
      </x:c>
      <x:c r="B10" s="24" t="str">
        <x:v>Deferred / conditioner</x:v>
      </x:c>
      <x:c r="C10" s="24" t="str">
        <x:v>INUNDATION_DURATION_HR</x:v>
      </x:c>
      <x:c r="D10" s="24" t="str">
        <x:v>conditioner / deferred axis</x:v>
      </x:c>
      <x:c r="E10" s="24" t="str">
        <x:v>Duration likely matters for corrosion and contamination but v0.1 avoids a premature 2-D curve.</x:v>
      </x:c>
      <x:c r="F10" s="24" t="str">
        <x:v>Promote to x-axis if evidence forces.</x:v>
      </x:c>
    </x:row>
    <x:row r="11">
      <x:c r="A11" s="24" t="str">
        <x:v>Contamination / salinity</x:v>
      </x:c>
      <x:c r="B11" s="24" t="str">
        <x:v>Conditioner</x:v>
      </x:c>
      <x:c r="C11" s="24" t="str">
        <x:v>FLOODWATER_CONTAMINATION_CLASS</x:v>
      </x:c>
      <x:c r="D11" s="24" t="str">
        <x:v>conditioner</x:v>
      </x:c>
      <x:c r="E11" s="24" t="str">
        <x:v>Saltwater/sewage/chemicals can change replacement vs reconditioning logic.</x:v>
      </x:c>
      <x:c r="F11" s="24" t="str">
        <x:v>Use categorical modifier in v1.0 until data supports numeric multiplier.</x:v>
      </x:c>
    </x:row>
    <x:row r="12">
      <x:c r="A12" s="24" t="str">
        <x:v>Generic flood severity score</x:v>
      </x:c>
      <x:c r="B12" s="24" t="str">
        <x:v>Rejected</x:v>
      </x:c>
      <x:c r="C12" s="24" t="str">
        <x:v>FLOOD_SCORE</x:v>
      </x:c>
      <x:c r="D12" s="24" t="str">
        <x:v>not used</x:v>
      </x:c>
      <x:c r="E12" s="24" t="str">
        <x:v>Too coarse; hides component elevations and different mechanisms.</x:v>
      </x:c>
      <x:c r="F12" s="24" t="str">
        <x:v>Avoid unless a provider only supplies score and a bridge is documented.</x:v>
      </x:c>
    </x:row>
    <x:row r="13">
      <x:c r="A13" s="24" t="str">
        <x:v>Whole-asset depth curve</x:v>
      </x:c>
      <x:c r="B13" s="24" t="str">
        <x:v>Rejected</x:v>
      </x:c>
      <x:c r="C13" s="24" t="str">
        <x:v>WATER_DEPTH_TO_SOLAR_TIV_DR</x:v>
      </x:c>
      <x:c r="D13" s="24" t="str">
        <x:v>not used</x:v>
      </x:c>
      <x:c r="E13" s="24" t="str">
        <x:v>Would apply one curve to entire plant and obscure value/reconciliation.</x:v>
      </x:c>
      <x:c r="F13" s="24" t="str">
        <x:v>Use only as coarse external benchmark, not primary damage code.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a03da9cdc2f44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Curve Record Blueprint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Candidate records. Numeric curves are intentionally pending v1.0.</x:v>
      </x:c>
    </x:row>
    <x:row r="4">
      <x:c r="A4" s="19" t="str">
        <x:v>curve_record_id</x:v>
      </x:c>
      <x:c r="B4" s="19" t="str">
        <x:v>cell_id</x:v>
      </x:c>
      <x:c r="C4" s="19" t="str">
        <x:v>failure_unit</x:v>
      </x:c>
      <x:c r="D4" s="19" t="str">
        <x:v>subsystem</x:v>
      </x:c>
      <x:c r="E4" s="19" t="str">
        <x:v>component</x:v>
      </x:c>
      <x:c r="F4" s="19" t="str">
        <x:v>role</x:v>
      </x:c>
      <x:c r="G4" s="19" t="str">
        <x:v>x_axis_id</x:v>
      </x:c>
      <x:c r="H4" s="19" t="str">
        <x:v>x_axis_unit</x:v>
      </x:c>
      <x:c r="I4" s="19" t="str">
        <x:v>candidate_curve_form</x:v>
      </x:c>
      <x:c r="J4" s="19" t="str">
        <x:v>value_bucket</x:v>
      </x:c>
      <x:c r="K4" s="19" t="str">
        <x:v>selectors</x:v>
      </x:c>
      <x:c r="L4" s="19" t="str">
        <x:v>conditioners</x:v>
      </x:c>
      <x:c r="M4" s="19" t="str">
        <x:v>exposure_geometry</x:v>
      </x:c>
      <x:c r="N4" s="19" t="str">
        <x:v>evidence_status</x:v>
      </x:c>
      <x:c r="O4" s="19" t="str">
        <x:v>v1.0 action</x:v>
      </x:c>
    </x:row>
    <x:row r="5">
      <x:c r="A5" s="24" t="str">
        <x:v>FS_INV_INGRESS_V0_1</x:v>
      </x:c>
      <x:c r="B5" s="24" t="str">
        <x:v>FLOOD_SOLAR</x:v>
      </x:c>
      <x:c r="C5" s="24" t="str">
        <x:v>Inverter inundation</x:v>
      </x:c>
      <x:c r="D5" s="24" t="str">
        <x:v>INVERTER_SYSTEM</x:v>
      </x:c>
      <x:c r="E5" s="24" t="str">
        <x:v>INVERTER</x:v>
      </x:c>
      <x:c r="F5" s="24" t="str">
        <x:v>primary_nonzero</x:v>
      </x:c>
      <x:c r="G5" s="24" t="str">
        <x:v>FLOOD_DEPTH_ABOVE_COMPONENT_DATUM</x:v>
      </x:c>
      <x:c r="H5" s="24" t="str">
        <x:v>m</x:v>
      </x:c>
      <x:c r="I5" s="24" t="str">
        <x:v>smoothed_threshold_or_state_model</x:v>
      </x:c>
      <x:c r="J5" s="24" t="str">
        <x:v>INVERTER_SYSTEM / INVERTER</x:v>
      </x:c>
      <x:c r="K5" s="24" t="str">
        <x:v>NEMA_type; IP_rating; inverter_topology</x:v>
      </x:c>
      <x:c r="L5" s="24" t="str">
        <x:v>energized_state; shutdown; duration; contamination</x:v>
      </x:c>
      <x:c r="M5" s="24" t="str">
        <x:v>component_critical_elev_m; pad_elev_m; exposure_fraction</x:v>
      </x:c>
      <x:c r="N5" s="24" t="str">
        <x:v>source-backed pathway; numeric curve pending</x:v>
      </x:c>
      <x:c r="O5" s="24" t="str">
        <x:v>derive first</x:v>
      </x:c>
    </x:row>
    <x:row r="6">
      <x:c r="A6" s="24" t="str">
        <x:v>FS_SWITCHGEAR_INGRESS_V0_1</x:v>
      </x:c>
      <x:c r="B6" s="24" t="str">
        <x:v>FLOOD_SOLAR</x:v>
      </x:c>
      <x:c r="C6" s="24" t="str">
        <x:v>Switchgear inundation</x:v>
      </x:c>
      <x:c r="D6" s="24" t="str">
        <x:v>SUBSTATION</x:v>
      </x:c>
      <x:c r="E6" s="24" t="str">
        <x:v>SWITCHGEAR</x:v>
      </x:c>
      <x:c r="F6" s="24" t="str">
        <x:v>primary_nonzero</x:v>
      </x:c>
      <x:c r="G6" s="24" t="str">
        <x:v>FLOOD_DEPTH_ABOVE_COMPONENT_DATUM</x:v>
      </x:c>
      <x:c r="H6" s="24" t="str">
        <x:v>m</x:v>
      </x:c>
      <x:c r="I6" s="24" t="str">
        <x:v>state_model_or_smoothed_threshold</x:v>
      </x:c>
      <x:c r="J6" s="24" t="str">
        <x:v>SUBSTATION / SWITCHGEAR</x:v>
      </x:c>
      <x:c r="K6" s="24" t="str">
        <x:v>NEMA_type; IP_rating; switchgear_type</x:v>
      </x:c>
      <x:c r="L6" s="24" t="str">
        <x:v>energized_state; shutdown; duration; contamination</x:v>
      </x:c>
      <x:c r="M6" s="24" t="str">
        <x:v>switchgear_critical_elev_m; exposure_fraction</x:v>
      </x:c>
      <x:c r="N6" s="24" t="str">
        <x:v>source-backed pathway; numeric curve pending</x:v>
      </x:c>
      <x:c r="O6" s="24" t="str">
        <x:v>derive first</x:v>
      </x:c>
    </x:row>
    <x:row r="7">
      <x:c r="A7" s="24" t="str">
        <x:v>FS_TRANSFORMER_INGRESS_V0_1</x:v>
      </x:c>
      <x:c r="B7" s="24" t="str">
        <x:v>FLOOD_SOLAR</x:v>
      </x:c>
      <x:c r="C7" s="24" t="str">
        <x:v>Transformer/control inundation</x:v>
      </x:c>
      <x:c r="D7" s="24" t="str">
        <x:v>SUBSTATION</x:v>
      </x:c>
      <x:c r="E7" s="24" t="str">
        <x:v>TRANSFORMER_MAIN</x:v>
      </x:c>
      <x:c r="F7" s="24" t="str">
        <x:v>primary_nonzero</x:v>
      </x:c>
      <x:c r="G7" s="24" t="str">
        <x:v>FLOOD_DEPTH_ABOVE_COMPONENT_DATUM</x:v>
      </x:c>
      <x:c r="H7" s="24" t="str">
        <x:v>m</x:v>
      </x:c>
      <x:c r="I7" s="24" t="str">
        <x:v>state_model_with_control_vs_main_split</x:v>
      </x:c>
      <x:c r="J7" s="24" t="str">
        <x:v>SUBSTATION / TRANSFORMER_MAIN</x:v>
      </x:c>
      <x:c r="K7" s="24" t="str">
        <x:v>transformer_type; control_cabinet_elev; oil_filled_flag</x:v>
      </x:c>
      <x:c r="L7" s="24" t="str">
        <x:v>energized_state; duration; contamination</x:v>
      </x:c>
      <x:c r="M7" s="24" t="str">
        <x:v>transformer_critical_elev_m; exposure_fraction</x:v>
      </x:c>
      <x:c r="N7" s="24" t="str">
        <x:v>source-backed pathway; split needed</x:v>
      </x:c>
      <x:c r="O7" s="24" t="str">
        <x:v>derive first</x:v>
      </x:c>
    </x:row>
    <x:row r="8">
      <x:c r="A8" s="24" t="str">
        <x:v>FS_COMBINER_DC_INGRESS_V0_1</x:v>
      </x:c>
      <x:c r="B8" s="24" t="str">
        <x:v>FLOOD_SOLAR</x:v>
      </x:c>
      <x:c r="C8" s="24" t="str">
        <x:v>Combiner/DC protection inundation</x:v>
      </x:c>
      <x:c r="D8" s="24" t="str">
        <x:v>INVERTER_SYSTEM</x:v>
      </x:c>
      <x:c r="E8" s="24" t="str">
        <x:v>COMBINER_BOX / DC_PROTECTION</x:v>
      </x:c>
      <x:c r="F8" s="24" t="str">
        <x:v>primary_or_secondary_nonzero</x:v>
      </x:c>
      <x:c r="G8" s="24" t="str">
        <x:v>FLOOD_DEPTH_ABOVE_COMPONENT_DATUM</x:v>
      </x:c>
      <x:c r="H8" s="24" t="str">
        <x:v>m</x:v>
      </x:c>
      <x:c r="I8" s="24" t="str">
        <x:v>smoothed_threshold</x:v>
      </x:c>
      <x:c r="J8" s="24" t="str">
        <x:v>INVERTER_SYSTEM / COMBINER_BOX + DC_PROTECTION</x:v>
      </x:c>
      <x:c r="K8" s="24" t="str">
        <x:v>NEMA_type; IP_rating; enclosure_mount_height</x:v>
      </x:c>
      <x:c r="L8" s="24" t="str">
        <x:v>energized_state; duration; contamination</x:v>
      </x:c>
      <x:c r="M8" s="24" t="str">
        <x:v>enclosure_critical_elev_m; exposure_fraction</x:v>
      </x:c>
      <x:c r="N8" s="24" t="str">
        <x:v>source-backed pathway; value materiality pending</x:v>
      </x:c>
      <x:c r="O8" s="24" t="str">
        <x:v>derive second</x:v>
      </x:c>
    </x:row>
    <x:row r="9">
      <x:c r="A9" s="24" t="str">
        <x:v>FS_SCADA_INGRESS_V0_1</x:v>
      </x:c>
      <x:c r="B9" s="24" t="str">
        <x:v>FLOOD_SOLAR</x:v>
      </x:c>
      <x:c r="C9" s="24" t="str">
        <x:v>SCADA/control cabinet inundation</x:v>
      </x:c>
      <x:c r="D9" s="24" t="str">
        <x:v>SCADA</x:v>
      </x:c>
      <x:c r="E9" s="24" t="str">
        <x:v>MONITORING_SYSTEM</x:v>
      </x:c>
      <x:c r="F9" s="24" t="str">
        <x:v>secondary_nonzero</x:v>
      </x:c>
      <x:c r="G9" s="24" t="str">
        <x:v>FLOOD_DEPTH_ABOVE_COMPONENT_DATUM</x:v>
      </x:c>
      <x:c r="H9" s="24" t="str">
        <x:v>m</x:v>
      </x:c>
      <x:c r="I9" s="24" t="str">
        <x:v>threshold_or_state_model</x:v>
      </x:c>
      <x:c r="J9" s="24" t="str">
        <x:v>SCADA / MONITORING_SYSTEM</x:v>
      </x:c>
      <x:c r="K9" s="24" t="str">
        <x:v>cabinet_rating; redundancy</x:v>
      </x:c>
      <x:c r="L9" s="24" t="str">
        <x:v>energized_state; duration; contamination</x:v>
      </x:c>
      <x:c r="M9" s="24" t="str">
        <x:v>cabinet_critical_elev_m; exposure_fraction</x:v>
      </x:c>
      <x:c r="N9" s="24" t="str">
        <x:v>source-backed pathway; low value but ops-important</x:v>
      </x:c>
      <x:c r="O9" s="24" t="str">
        <x:v>derive second</x:v>
      </x:c>
    </x:row>
    <x:row r="10">
      <x:c r="A10" s="24" t="str">
        <x:v>FS_COLLECTION_CONDUIT_PATH_V0_1</x:v>
      </x:c>
      <x:c r="B10" s="24" t="str">
        <x:v>FLOOD_SOLAR</x:v>
      </x:c>
      <x:c r="C10" s="24" t="str">
        <x:v>Collection/conduit water path</x:v>
      </x:c>
      <x:c r="D10" s="24" t="str">
        <x:v>ELECTRICAL_COLLECTION</x:v>
      </x:c>
      <x:c r="E10" s="24" t="str">
        <x:v>CABLE_AC / CABLE_DC</x:v>
      </x:c>
      <x:c r="F10" s="24" t="str">
        <x:v>conditional_secondary</x:v>
      </x:c>
      <x:c r="G10" s="24" t="str">
        <x:v>FLOOD_DEPTH_ABOVE_CONDUIT_ENTRY</x:v>
      </x:c>
      <x:c r="H10" s="24" t="str">
        <x:v>m</x:v>
      </x:c>
      <x:c r="I10" s="24" t="str">
        <x:v>pathway_modifier_or_piecewise</x:v>
      </x:c>
      <x:c r="J10" s="24" t="str">
        <x:v>ELECTRICAL_COLLECTION</x:v>
      </x:c>
      <x:c r="K10" s="24" t="str">
        <x:v>conduit_sealing; trenching; cable_burial</x:v>
      </x:c>
      <x:c r="L10" s="24" t="str">
        <x:v>duration; contamination</x:v>
      </x:c>
      <x:c r="M10" s="24" t="str">
        <x:v>pullbox_elev_m; conduit_entry_elev_m; path_present</x:v>
      </x:c>
      <x:c r="N10" s="24" t="str">
        <x:v>DOE/FEMP supports pathway; curve pending</x:v>
      </x:c>
      <x:c r="O10" s="24" t="str">
        <x:v>model as modifier</x:v>
      </x:c>
    </x:row>
    <x:row r="11">
      <x:c r="A11" s="24" t="str">
        <x:v>FS_FOUNDATION_SCOUR_V0_1</x:v>
      </x:c>
      <x:c r="B11" s="24" t="str">
        <x:v>FLOOD_SOLAR</x:v>
      </x:c>
      <x:c r="C11" s="24" t="str">
        <x:v>Foundation/pile scour</x:v>
      </x:c>
      <x:c r="D11" s="24" t="str">
        <x:v>FOUNDATION</x:v>
      </x:c>
      <x:c r="E11" s="24" t="str">
        <x:v>FOUNDATION_BASE</x:v>
      </x:c>
      <x:c r="F11" s="24" t="str">
        <x:v>conditional_nonzero</x:v>
      </x:c>
      <x:c r="G11" s="24" t="str">
        <x:v>FLOOD_FLOW_VELOCITY_MPS</x:v>
      </x:c>
      <x:c r="H11" s="24" t="str">
        <x:v>m/s</x:v>
      </x:c>
      <x:c r="I11" s="24" t="str">
        <x:v>separate_scour_threshold</x:v>
      </x:c>
      <x:c r="J11" s="24" t="str">
        <x:v>FOUNDATION</x:v>
      </x:c>
      <x:c r="K11" s="24" t="str">
        <x:v>foundation_type; soil_erodibility</x:v>
      </x:c>
      <x:c r="L11" s="24" t="str">
        <x:v>duration; debris_loading</x:v>
      </x:c>
      <x:c r="M11" s="24" t="str">
        <x:v>flow_path_exposure; exposure_fraction</x:v>
      </x:c>
      <x:c r="N11" s="24" t="str">
        <x:v>separate civil evidence needed</x:v>
      </x:c>
      <x:c r="O11" s="24" t="str">
        <x:v>defer after electrical</x:v>
      </x:c>
    </x:row>
    <x:row r="12">
      <x:c r="A12" s="24" t="str">
        <x:v>FS_PV_MODULE_SUBMERSION_V0_1</x:v>
      </x:c>
      <x:c r="B12" s="24" t="str">
        <x:v>FLOOD_SOLAR</x:v>
      </x:c>
      <x:c r="C12" s="24" t="str">
        <x:v>PV module total submersion/debris</x:v>
      </x:c>
      <x:c r="D12" s="24" t="str">
        <x:v>PV_ARRAY</x:v>
      </x:c>
      <x:c r="E12" s="24" t="str">
        <x:v>PV_MODULE</x:v>
      </x:c>
      <x:c r="F12" s="24" t="str">
        <x:v>reviewed_secondary</x:v>
      </x:c>
      <x:c r="G12" s="24" t="str">
        <x:v>WATER_DEPTH_REACHES_MODULE_LOWER_EDGE</x:v>
      </x:c>
      <x:c r="H12" s="24" t="str">
        <x:v>m</x:v>
      </x:c>
      <x:c r="I12" s="24" t="str">
        <x:v>trigger_or_reviewed_secondary</x:v>
      </x:c>
      <x:c r="J12" s="24" t="str">
        <x:v>PV_ARRAY / PV_MODULE</x:v>
      </x:c>
      <x:c r="K12" s="24" t="str">
        <x:v>module_lower_edge_elev; module_type</x:v>
      </x:c>
      <x:c r="L12" s="24" t="str">
        <x:v>duration; debris; contamination</x:v>
      </x:c>
      <x:c r="M12" s="24" t="str">
        <x:v>module_lower_edge_elev_m; exposure_fraction</x:v>
      </x:c>
      <x:c r="N12" s="24" t="str">
        <x:v>DOE/FEMP supports submersion replacement; materiality conditional</x:v>
      </x:c>
      <x:c r="O12" s="24" t="str">
        <x:v>site-dependent</x:v>
      </x:c>
    </x:row>
    <x:row r="13">
      <x:c r="A13" s="24" t="str">
        <x:v>FS_DRAINAGE_DEFENSE_MOD_V0_1</x:v>
      </x:c>
      <x:c r="B13" s="24" t="str">
        <x:v>FLOOD_SOLAR</x:v>
      </x:c>
      <x:c r="C13" s="24" t="str">
        <x:v>Drainage/flood-defense exposure modifier</x:v>
      </x:c>
      <x:c r="D13" s="24" t="str">
        <x:v>SITE_DRAINAGE</x:v>
      </x:c>
      <x:c r="E13" s="24" t="str">
        <x:v>DRAINAGE_SYSTEM / FLOOD_DEFENSE</x:v>
      </x:c>
      <x:c r="F13" s="24" t="str">
        <x:v>exposure_modifier</x:v>
      </x:c>
      <x:c r="G13" s="24" t="str">
        <x:v>CAPACITY_EXCEEDANCE_OR_OVERTOPPING</x:v>
      </x:c>
      <x:c r="H13" s="24" t="str">
        <x:v>binary/m</x:v>
      </x:c>
      <x:c r="I13" s="24" t="str">
        <x:v>protection_modifier</x:v>
      </x:c>
      <x:c r="J13" s="24" t="str">
        <x:v>SITE_DRAINAGE / FLOOD_DEFENSE</x:v>
      </x:c>
      <x:c r="K13" s="24" t="str">
        <x:v>berm_height; pump_capacity; drainage_capacity</x:v>
      </x:c>
      <x:c r="L13" s="24" t="str">
        <x:v>maintenance; blockage; deployment</x:v>
      </x:c>
      <x:c r="M13" s="24" t="str">
        <x:v>overtopping_depth; flow_path</x:v>
      </x:c>
      <x:c r="N13" s="24" t="str">
        <x:v>source-supported mitigation role</x:v>
      </x:c>
      <x:c r="O13" s="24" t="str">
        <x:v>modifier, not curve first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055dc2b843647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Exposure Geometry Transform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Example only: converts WSE to component-specific depth above critical elevation.</x:v>
      </x:c>
    </x:row>
    <x:row r="4">
      <x:c r="A4" s="32" t="str">
        <x:v>Input</x:v>
      </x:c>
      <x:c r="B4" s="32" t="str">
        <x:v>Value</x:v>
      </x:c>
      <x:c r="C4" s="32" t="str">
        <x:v>Unit</x:v>
      </x:c>
      <x:c r="D4" s="32" t="str">
        <x:v>Notes</x:v>
      </x:c>
    </x:row>
    <x:row r="5">
      <x:c r="A5" s="24" t="str">
        <x:v>Water surface elevation</x:v>
      </x:c>
      <x:c r="B5" s="38" t="n">
        <x:v>102.5</x:v>
      </x:c>
      <x:c r="C5" s="24" t="str">
        <x:v>m</x:v>
      </x:c>
      <x:c r="D5" s="24" t="str">
        <x:v>Example WSE; replace with site hazard model output.</x:v>
      </x:c>
    </x:row>
    <x:row r="6">
      <x:c r="A6" s="24" t="str">
        <x:v>Local grade elevation</x:v>
      </x:c>
      <x:c r="B6" s="38" t="n">
        <x:v>100</x:v>
      </x:c>
      <x:c r="C6" s="24" t="str">
        <x:v>m</x:v>
      </x:c>
      <x:c r="D6" s="24" t="str">
        <x:v>Example local grade.</x:v>
      </x:c>
    </x:row>
    <x:row r="7">
      <x:c r="A7" s="24" t="str">
        <x:v>Default exposure fraction</x:v>
      </x:c>
      <x:c r="B7" s="38" t="n">
        <x:v>1</x:v>
      </x:c>
      <x:c r="C7" s="24" t="str">
        <x:v>fraction</x:v>
      </x:c>
      <x:c r="D7" s="24" t="str">
        <x:v>Example; actual footprint exposure may be less than 1.</x:v>
      </x:c>
    </x:row>
    <x:row r="10">
      <x:c r="A10" s="19" t="str">
        <x:v>Component</x:v>
      </x:c>
      <x:c r="B10" s="19" t="str">
        <x:v>Subsystem</x:v>
      </x:c>
      <x:c r="C10" s="19" t="str">
        <x:v>Critical elevation (m)</x:v>
      </x:c>
      <x:c r="D10" s="19" t="str">
        <x:v>WSE (m)</x:v>
      </x:c>
      <x:c r="E10" s="19" t="str">
        <x:v>Depth above component (m)</x:v>
      </x:c>
      <x:c r="F10" s="19" t="str">
        <x:v>Exposed?</x:v>
      </x:c>
      <x:c r="G10" s="19" t="str">
        <x:v>Primary x-axis</x:v>
      </x:c>
      <x:c r="H10" s="19" t="str">
        <x:v>Notes</x:v>
      </x:c>
    </x:row>
    <x:row r="11">
      <x:c r="A11" s="24" t="str">
        <x:v>Inverter cabinet/skid</x:v>
      </x:c>
      <x:c r="B11" s="24" t="str">
        <x:v>INVERTER_SYSTEM</x:v>
      </x:c>
      <x:c r="C11" s="38" t="n">
        <x:v>101.5</x:v>
      </x:c>
      <x:c r="D11" s="38" t="n">
        <x:f>$B$5</x:f>
        <x:v>102.5</x:v>
      </x:c>
      <x:c r="E11" s="38" t="n">
        <x:f>MAX(0,$B$5-C11)</x:f>
        <x:v>1</x:v>
      </x:c>
      <x:c r="F11" s="24" t="str">
        <x:f>IF(E11&gt;0,"YES","NO")</x:f>
        <x:v>YES</x:v>
      </x:c>
      <x:c r="G11" s="24" t="str">
        <x:v>FLOOD_DEPTH_ABOVE_COMPONENT_DATUM</x:v>
      </x:c>
      <x:c r="H11" s="24" t="str">
        <x:v>Example critical elevation: cabinet entry or vulnerable electronics height.</x:v>
      </x:c>
    </x:row>
    <x:row r="12">
      <x:c r="A12" s="24" t="str">
        <x:v>Switchgear cabinet</x:v>
      </x:c>
      <x:c r="B12" s="24" t="str">
        <x:v>SUBSTATION</x:v>
      </x:c>
      <x:c r="C12" s="38" t="n">
        <x:v>102.3</x:v>
      </x:c>
      <x:c r="D12" s="38" t="n">
        <x:f>$B$5</x:f>
        <x:v>102.5</x:v>
      </x:c>
      <x:c r="E12" s="38" t="n">
        <x:f>MAX(0,$B$5-C12)</x:f>
        <x:v>0.20000000000000284</x:v>
      </x:c>
      <x:c r="F12" s="24" t="str">
        <x:f>IF(E12&gt;0,"YES","NO")</x:f>
        <x:v>YES</x:v>
      </x:c>
      <x:c r="G12" s="24" t="str">
        <x:v>FLOOD_DEPTH_ABOVE_COMPONENT_DATUM</x:v>
      </x:c>
      <x:c r="H12" s="24" t="str">
        <x:v>Critical elevation may be base, cable entry, or internal electronics threshold.</x:v>
      </x:c>
    </x:row>
    <x:row r="13">
      <x:c r="A13" s="24" t="str">
        <x:v>Transformer controls</x:v>
      </x:c>
      <x:c r="B13" s="24" t="str">
        <x:v>SUBSTATION</x:v>
      </x:c>
      <x:c r="C13" s="38" t="n">
        <x:v>101.9</x:v>
      </x:c>
      <x:c r="D13" s="38" t="n">
        <x:f>$B$5</x:f>
        <x:v>102.5</x:v>
      </x:c>
      <x:c r="E13" s="38" t="n">
        <x:f>MAX(0,$B$5-C13)</x:f>
        <x:v>0.5999999999999943</x:v>
      </x:c>
      <x:c r="F13" s="24" t="str">
        <x:f>IF(E13&gt;0,"YES","NO")</x:f>
        <x:v>YES</x:v>
      </x:c>
      <x:c r="G13" s="24" t="str">
        <x:v>FLOOD_DEPTH_ABOVE_COMPONENT_DATUM</x:v>
      </x:c>
      <x:c r="H13" s="24" t="str">
        <x:v>May split controls from main tank in v1.0.</x:v>
      </x:c>
    </x:row>
    <x:row r="14">
      <x:c r="A14" s="24" t="str">
        <x:v>Combiner/DC protection</x:v>
      </x:c>
      <x:c r="B14" s="24" t="str">
        <x:v>INVERTER_SYSTEM</x:v>
      </x:c>
      <x:c r="C14" s="38" t="n">
        <x:v>100.8</x:v>
      </x:c>
      <x:c r="D14" s="38" t="n">
        <x:f>$B$5</x:f>
        <x:v>102.5</x:v>
      </x:c>
      <x:c r="E14" s="38" t="n">
        <x:f>MAX(0,$B$5-C14)</x:f>
        <x:v>1.7000000000000028</x:v>
      </x:c>
      <x:c r="F14" s="24" t="str">
        <x:f>IF(E14&gt;0,"YES","NO")</x:f>
        <x:v>YES</x:v>
      </x:c>
      <x:c r="G14" s="24" t="str">
        <x:v>FLOOD_DEPTH_ABOVE_COMPONENT_DATUM</x:v>
      </x:c>
      <x:c r="H14" s="24" t="str">
        <x:v>Distributed lower enclosures may be exposed earlier.</x:v>
      </x:c>
    </x:row>
    <x:row r="15">
      <x:c r="A15" s="24" t="str">
        <x:v>SCADA cabinet</x:v>
      </x:c>
      <x:c r="B15" s="24" t="str">
        <x:v>SCADA</x:v>
      </x:c>
      <x:c r="C15" s="38" t="n">
        <x:v>102</x:v>
      </x:c>
      <x:c r="D15" s="38" t="n">
        <x:f>$B$5</x:f>
        <x:v>102.5</x:v>
      </x:c>
      <x:c r="E15" s="38" t="n">
        <x:f>MAX(0,$B$5-C15)</x:f>
        <x:v>0.5</x:v>
      </x:c>
      <x:c r="F15" s="24" t="str">
        <x:f>IF(E15&gt;0,"YES","NO")</x:f>
        <x:v>YES</x:v>
      </x:c>
      <x:c r="G15" s="24" t="str">
        <x:v>FLOOD_DEPTH_ABOVE_COMPONENT_DATUM</x:v>
      </x:c>
      <x:c r="H15" s="24" t="str">
        <x:v>Low value, operationally important.</x:v>
      </x:c>
    </x:row>
    <x:row r="16">
      <x:c r="A16" s="24" t="str">
        <x:v>Module lower edge</x:v>
      </x:c>
      <x:c r="B16" s="24" t="str">
        <x:v>PV_ARRAY</x:v>
      </x:c>
      <x:c r="C16" s="38" t="n">
        <x:v>103</x:v>
      </x:c>
      <x:c r="D16" s="38" t="n">
        <x:f>$B$5</x:f>
        <x:v>102.5</x:v>
      </x:c>
      <x:c r="E16" s="38" t="n">
        <x:f>MAX(0,$B$5-C16)</x:f>
        <x:v>0</x:v>
      </x:c>
      <x:c r="F16" s="24" t="str">
        <x:f>IF(E16&gt;0,"YES","NO")</x:f>
        <x:v>NO</x:v>
      </x:c>
      <x:c r="G16" s="24" t="str">
        <x:v>WATER_REACHES_MODULE_LOWER_EDGE</x:v>
      </x:c>
      <x:c r="H16" s="24" t="str">
        <x:v>Conditional secondary exposure.</x:v>
      </x:c>
    </x:row>
    <x:row r="17">
      <x:c r="A17" s="24" t="str">
        <x:v>Foundation/pile</x:v>
      </x:c>
      <x:c r="B17" s="24" t="str">
        <x:v>FOUNDATION</x:v>
      </x:c>
      <x:c r="C17" s="38" t="n">
        <x:v>100</x:v>
      </x:c>
      <x:c r="D17" s="38" t="n">
        <x:f>$B$5</x:f>
        <x:v>102.5</x:v>
      </x:c>
      <x:c r="E17" s="38" t="n">
        <x:f>MAX(0,$B$5-C17)</x:f>
        <x:v>2.5</x:v>
      </x:c>
      <x:c r="F17" s="24" t="str">
        <x:f>IF(E17&gt;0,"YES","NO")</x:f>
        <x:v>YES</x:v>
      </x:c>
      <x:c r="G17" s="24" t="str">
        <x:v>FLOOD_FLOW_VELOCITY_MPS</x:v>
      </x:c>
      <x:c r="H17" s="24" t="str">
        <x:v>Depth alone not sufficient for scour.</x:v>
      </x:c>
    </x:row>
    <x:row r="19">
      <x:c r="A19" s="42" t="str">
        <x:v>Core formula: water_depth_above_component_i = MAX(0, water_surface_elevation - component_critical_elevation_i). Elevation changes the x-value; it does not automatically create a new fragility curve.</x:v>
      </x:c>
    </x:row>
  </x:sheetData>
  <x:mergeCells>
    <x:mergeCell ref="A1:J1"/>
    <x:mergeCell ref="A2:J2"/>
    <x:mergeCell ref="A19:J19"/>
  </x:mergeCells>
  <x:pageMargins left="0.7" right="0.7" top="0.75" bottom="0.75" header="0.3" footer="0.3"/>
  <x:drawing xmlns:r="http://schemas.openxmlformats.org/officeDocument/2006/relationships" r:id="R554a3a4f81d046ff"/>
  <x:tableParts count="1">
    <x:tablePart xmlns:r="http://schemas.openxmlformats.org/officeDocument/2006/relationships" r:id="Rb423e62be1bc442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Selector / Conditioner / Exposure Map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Separates fixed asset attributes from event-time states and geometry.</x:v>
      </x:c>
    </x:row>
    <x:row r="4">
      <x:c r="A4" s="19" t="str">
        <x:v>variable</x:v>
      </x:c>
      <x:c r="B4" s="19" t="str">
        <x:v>class</x:v>
      </x:c>
      <x:c r="C4" s="19" t="str">
        <x:v>applies_to</x:v>
      </x:c>
      <x:c r="D4" s="19" t="str">
        <x:v>why it matters</x:v>
      </x:c>
      <x:c r="E4" s="19" t="str">
        <x:v>damage-code treatment</x:v>
      </x:c>
      <x:c r="F4" s="19" t="str">
        <x:v>example values</x:v>
      </x:c>
    </x:row>
    <x:row r="5">
      <x:c r="A5" s="24" t="str">
        <x:v>water_surface_elevation_m</x:v>
      </x:c>
      <x:c r="B5" s="24" t="str">
        <x:v>hazard_input</x:v>
      </x:c>
      <x:c r="C5" s="24" t="str">
        <x:v>all depth-driven records</x:v>
      </x:c>
      <x:c r="D5" s="24" t="str">
        <x:v>Source hazard level on a datum</x:v>
      </x:c>
      <x:c r="E5" s="24" t="str">
        <x:v>transform to component depth above datum</x:v>
      </x:c>
      <x:c r="F5" s="24" t="str">
        <x:v>102.5 m NAVD88</x:v>
      </x:c>
    </x:row>
    <x:row r="6">
      <x:c r="A6" s="24" t="str">
        <x:v>component_critical_elevation_m</x:v>
      </x:c>
      <x:c r="B6" s="24" t="str">
        <x:v>exposure_geometry</x:v>
      </x:c>
      <x:c r="C6" s="24" t="str">
        <x:v>all depth-driven records</x:v>
      </x:c>
      <x:c r="D6" s="24" t="str">
        <x:v>Water must reach a vulnerable elevation before damage path activates</x:v>
      </x:c>
      <x:c r="E6" s="24" t="str">
        <x:v>input/derived; used in formula h_i=max(0,WSE-z_i)</x:v>
      </x:c>
      <x:c r="F6" s="24" t="str">
        <x:v>inverter cabinet entry 101.5 m</x:v>
      </x:c>
    </x:row>
    <x:row r="7">
      <x:c r="A7" s="24" t="str">
        <x:v>equipment_pad_elevation_m</x:v>
      </x:c>
      <x:c r="B7" s="24" t="str">
        <x:v>exposure_geometry</x:v>
      </x:c>
      <x:c r="C7" s="24" t="str">
        <x:v>inverter/switchgear/transformer</x:v>
      </x:c>
      <x:c r="D7" s="24" t="str">
        <x:v>Common proxy for critical elevation if detailed cabinet data is missing</x:v>
      </x:c>
      <x:c r="E7" s="24" t="str">
        <x:v>derive critical elevation with add-on height</x:v>
      </x:c>
      <x:c r="F7" s="24" t="str">
        <x:v>pad 101.0 m + 0.5 m</x:v>
      </x:c>
    </x:row>
    <x:row r="8">
      <x:c r="A8" s="24" t="str">
        <x:v>NEMA_type</x:v>
      </x:c>
      <x:c r="B8" s="24" t="str">
        <x:v>selector</x:v>
      </x:c>
      <x:c r="C8" s="24" t="str">
        <x:v>cabinets/enclosures</x:v>
      </x:c>
      <x:c r="D8" s="24" t="str">
        <x:v>Rain/hosedown vs submersion ratings matter</x:v>
      </x:c>
      <x:c r="E8" s="24" t="str">
        <x:v>choose/shift threshold or state curve; do not treat NEMA 3/4 as submersion-proof</x:v>
      </x:c>
      <x:c r="F8" s="24" t="str">
        <x:v>3R, 4, 4X, 6, 6P</x:v>
      </x:c>
    </x:row>
    <x:row r="9">
      <x:c r="A9" s="24" t="str">
        <x:v>IP_rating</x:v>
      </x:c>
      <x:c r="B9" s="24" t="str">
        <x:v>selector</x:v>
      </x:c>
      <x:c r="C9" s="24" t="str">
        <x:v>electrical enclosures</x:v>
      </x:c>
      <x:c r="D9" s="24" t="str">
        <x:v>Ingress protection can select a curve when NEMA is missing</x:v>
      </x:c>
      <x:c r="E9" s="24" t="str">
        <x:v>use with caution; document equivalence limitations</x:v>
      </x:c>
      <x:c r="F9" s="24" t="str">
        <x:v>IP54, IP65, IP67, IP68</x:v>
      </x:c>
    </x:row>
    <x:row r="10">
      <x:c r="A10" s="24" t="str">
        <x:v>energized_state</x:v>
      </x:c>
      <x:c r="B10" s="24" t="str">
        <x:v>conditioner</x:v>
      </x:c>
      <x:c r="C10" s="24" t="str">
        <x:v>electrical equipment</x:v>
      </x:c>
      <x:c r="D10" s="24" t="str">
        <x:v>Energized water exposure can worsen fault/safety damage</x:v>
      </x:c>
      <x:c r="E10" s="24" t="str">
        <x:v>state multiplier or separate state</x:v>
      </x:c>
      <x:c r="F10" s="24" t="str">
        <x:v>energized, deenergized, unknown</x:v>
      </x:c>
    </x:row>
    <x:row r="11">
      <x:c r="A11" s="24" t="str">
        <x:v>shutdown_before_flood</x:v>
      </x:c>
      <x:c r="B11" s="24" t="str">
        <x:v>conditioner</x:v>
      </x:c>
      <x:c r="C11" s="24" t="str">
        <x:v>inverter/substation/SCADA</x:v>
      </x:c>
      <x:c r="D11" s="24" t="str">
        <x:v>Can reduce fault damage but not necessarily contamination/corrosion</x:v>
      </x:c>
      <x:c r="E11" s="24" t="str">
        <x:v>state modifier</x:v>
      </x:c>
      <x:c r="F11" s="24" t="str">
        <x:v>yes/no/unknown</x:v>
      </x:c>
    </x:row>
    <x:row r="12">
      <x:c r="A12" s="24" t="str">
        <x:v>inundation_duration_hr</x:v>
      </x:c>
      <x:c r="B12" s="24" t="str">
        <x:v>conditioner/deferred_axis</x:v>
      </x:c>
      <x:c r="C12" s="24" t="str">
        <x:v>all flooded equipment</x:v>
      </x:c>
      <x:c r="D12" s="24" t="str">
        <x:v>Longer exposure can worsen corrosion/reconditioning outcome</x:v>
      </x:c>
      <x:c r="E12" s="24" t="str">
        <x:v>carry as conditioner in v0.1</x:v>
      </x:c>
      <x:c r="F12" s="24" t="str">
        <x:v>1, 6, 24, 72</x:v>
      </x:c>
    </x:row>
    <x:row r="13">
      <x:c r="A13" s="24" t="str">
        <x:v>contamination_class</x:v>
      </x:c>
      <x:c r="B13" s="24" t="str">
        <x:v>conditioner</x:v>
      </x:c>
      <x:c r="C13" s="24" t="str">
        <x:v>electrical equipment/cables</x:v>
      </x:c>
      <x:c r="D13" s="24" t="str">
        <x:v>Saltwater, sewage, chemicals, sediment change recovery path</x:v>
      </x:c>
      <x:c r="E13" s="24" t="str">
        <x:v>state modifier; numeric TBD</x:v>
      </x:c>
      <x:c r="F13" s="24" t="str">
        <x:v>fresh_clean, salt_brackish, sewage_chemical</x:v>
      </x:c>
    </x:row>
    <x:row r="14">
      <x:c r="A14" s="24" t="str">
        <x:v>conduit_sealing_type</x:v>
      </x:c>
      <x:c r="B14" s="24" t="str">
        <x:v>selector/pathway</x:v>
      </x:c>
      <x:c r="C14" s="24" t="str">
        <x:v>collection/enclosures</x:v>
      </x:c>
      <x:c r="D14" s="24" t="str">
        <x:v>Water can enter pullboxes/conduits and reach enclosures</x:v>
      </x:c>
      <x:c r="E14" s="24" t="str">
        <x:v>pathway modifier</x:v>
      </x:c>
      <x:c r="F14" s="24" t="str">
        <x:v>sealed, drained, unsealed, unknown</x:v>
      </x:c>
    </x:row>
    <x:row r="15">
      <x:c r="A15" s="24" t="str">
        <x:v>flood_defense_deployed</x:v>
      </x:c>
      <x:c r="B15" s="24" t="str">
        <x:v>conditioner/protection</x:v>
      </x:c>
      <x:c r="C15" s="24" t="str">
        <x:v>site drainage/flood defense</x:v>
      </x:c>
      <x:c r="D15" s="24" t="str">
        <x:v>Changes actual water reaching equipment</x:v>
      </x:c>
      <x:c r="E15" s="24" t="str">
        <x:v>pre-curve exposure adjustment</x:v>
      </x:c>
      <x:c r="F15" s="24" t="str">
        <x:v>deployed, failed, not_present</x:v>
      </x:c>
    </x:row>
    <x:row r="16">
      <x:c r="A16" s="24" t="str">
        <x:v>exposure_fraction</x:v>
      </x:c>
      <x:c r="B16" s="24" t="str">
        <x:v>exposure_geometry</x:v>
      </x:c>
      <x:c r="C16" s="24" t="str">
        <x:v>all records</x:v>
      </x:c>
      <x:c r="D16" s="24" t="str">
        <x:v>Fraction of units/value affected by flood footprint</x:v>
      </x:c>
      <x:c r="E16" s="24" t="str">
        <x:v>multiplies value, not DR shape</x:v>
      </x:c>
      <x:c r="F16" s="24" t="str">
        <x:v>0.0–1.0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8a398a706514c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Candidate Curve Forms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Documents why step/logistic/piecewise/state/scour forms are considered.</x:v>
      </x:c>
    </x:row>
    <x:row r="4">
      <x:c r="A4" s="19" t="str">
        <x:v>curve_form</x:v>
      </x:c>
      <x:c r="B4" s="19" t="str">
        <x:v>mathematical idea</x:v>
      </x:c>
      <x:c r="C4" s="19" t="str">
        <x:v>use for</x:v>
      </x:c>
      <x:c r="D4" s="19" t="str">
        <x:v>why considered</x:v>
      </x:c>
      <x:c r="E4" s="19" t="str">
        <x:v>why not always used</x:v>
      </x:c>
      <x:c r="F4" s="19" t="str">
        <x:v>v0.1 recommendation</x:v>
      </x:c>
    </x:row>
    <x:row r="5">
      <x:c r="A5" s="24" t="str">
        <x:v>step_trigger</x:v>
      </x:c>
      <x:c r="B5" s="24" t="str">
        <x:v>DR=0 below threshold; DR=L above threshold</x:v>
      </x:c>
      <x:c r="C5" s="24" t="str">
        <x:v>submersion replacement triggers</x:v>
      </x:c>
      <x:c r="D5" s="24" t="str">
        <x:v>Matches a hard physical/electrical contact trigger</x:v>
      </x:c>
      <x:c r="E5" s="24" t="str">
        <x:v>Can overstate precision if threshold/elevation uncertain</x:v>
      </x:c>
      <x:c r="F5" s="24" t="str">
        <x:v>candidate for simple deterministic state</x:v>
      </x:c>
    </x:row>
    <x:row r="6">
      <x:c r="A6" s="24" t="str">
        <x:v>smoothed_threshold_logistic</x:v>
      </x:c>
      <x:c r="B6" s="24" t="str">
        <x:v>DR=L/(1+EXP(-k*(h-h50)))</x:v>
      </x:c>
      <x:c r="C6" s="24" t="str">
        <x:v>inverter/switchgear/SCADA where threshold is sharp but uncertain</x:v>
      </x:c>
      <x:c r="D6" s="24" t="str">
        <x:v>Smooths survey, waves, cabinet geometry, and entry-height uncertainty</x:v>
      </x:c>
      <x:c r="E6" s="24" t="str">
        <x:v>Should not be used as generic default without rationale</x:v>
      </x:c>
      <x:c r="F6" s="24" t="str">
        <x:v>likely first v1.0 form for depth-driven electrical curves</x:v>
      </x:c>
    </x:row>
    <x:row r="7">
      <x:c r="A7" s="24" t="str">
        <x:v>piecewise_ramp</x:v>
      </x:c>
      <x:c r="B7" s="24" t="str">
        <x:v>dry → contact → partial → full submersion states</x:v>
      </x:c>
      <x:c r="C7" s="24" t="str">
        <x:v>cabinet/enclosure and conduit water path</x:v>
      </x:c>
      <x:c r="D7" s="24" t="str">
        <x:v>Captures staged recovery outcomes</x:v>
      </x:c>
      <x:c r="E7" s="24" t="str">
        <x:v>Requires state thresholds and caps</x:v>
      </x:c>
      <x:c r="F7" s="24" t="str">
        <x:v>use where evidence supports states</x:v>
      </x:c>
    </x:row>
    <x:row r="8">
      <x:c r="A8" s="24" t="str">
        <x:v>categorical_state_model</x:v>
      </x:c>
      <x:c r="B8" s="24" t="str">
        <x:v>state probabilities / replacement vs recondition</x:v>
      </x:c>
      <x:c r="C8" s="24" t="str">
        <x:v>water-damaged electrical equipment</x:v>
      </x:c>
      <x:c r="D8" s="24" t="str">
        <x:v>Matches NEMA-style replacement/reconditioning logic</x:v>
      </x:c>
      <x:c r="E8" s="24" t="str">
        <x:v>Needs rules for probability or deterministic state assignment</x:v>
      </x:c>
      <x:c r="F8" s="24" t="str">
        <x:v>strong candidate for v1.0</x:v>
      </x:c>
    </x:row>
    <x:row r="9">
      <x:c r="A9" s="24" t="str">
        <x:v>scour_threshold</x:v>
      </x:c>
      <x:c r="B9" s="24" t="str">
        <x:v>DR=f(velocity, soil, duration)</x:v>
      </x:c>
      <x:c r="C9" s="24" t="str">
        <x:v>foundation/pads/civil/access</x:v>
      </x:c>
      <x:c r="D9" s="24" t="str">
        <x:v>Scour is hydraulic/structural, not electrical ingress</x:v>
      </x:c>
      <x:c r="E9" s="24" t="str">
        <x:v>Needs civil/hydraulic evidence</x:v>
      </x:c>
      <x:c r="F9" s="24" t="str">
        <x:v>separate from electrical curves</x:v>
      </x:c>
    </x:row>
    <x:row r="10">
      <x:c r="A10" s="24" t="str">
        <x:v>whole_asset_depth_damage</x:v>
      </x:c>
      <x:c r="B10" s="24" t="str">
        <x:v>one curve for asset TIV</x:v>
      </x:c>
      <x:c r="C10" s="24" t="str">
        <x:v>external benchmark only</x:v>
      </x:c>
      <x:c r="D10" s="24" t="str">
        <x:v>Easy to plot but hides mechanisms</x:v>
      </x:c>
      <x:c r="E10" s="24" t="str">
        <x:v>Not compatible with value-linked failure-unit damage code</x:v>
      </x:c>
      <x:c r="F10" s="24" t="str">
        <x:v>reject as primary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9a631b088114ee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Evidence Source Map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Sources with links and source-to-claim boundaries.</x:v>
      </x:c>
    </x:row>
    <x:row r="4">
      <x:c r="A4" s="19" t="str">
        <x:v>evidence_id</x:v>
      </x:c>
      <x:c r="B4" s="19" t="str">
        <x:v>source</x:v>
      </x:c>
      <x:c r="C4" s="19" t="str">
        <x:v>type</x:v>
      </x:c>
      <x:c r="D4" s="19" t="str">
        <x:v>link</x:v>
      </x:c>
      <x:c r="E4" s="19" t="str">
        <x:v>supports</x:v>
      </x:c>
      <x:c r="F4" s="19" t="str">
        <x:v>does_not_support</x:v>
      </x:c>
      <x:c r="G4" s="19" t="str">
        <x:v>trust_tier</x:v>
      </x:c>
    </x:row>
    <x:row r="5">
      <x:c r="A5" s="24" t="str">
        <x:v>DOE_FEMP_PV_FLOOD</x:v>
      </x:c>
      <x:c r="B5" s="24" t="str">
        <x:v>DOE/FEMP Preventing and Mitigating Flood Damage to Solar Photovoltaic Systems</x:v>
      </x:c>
      <x:c r="C5" s="24" t="str">
        <x:v>solar-specific guidance</x:v>
      </x:c>
      <x:c r="D5" s="24" t="str">
        <x:v>https://www.energy.gov/femp/preventing-and-mitigating-flood-damage-solar-photovoltaic-systems</x:v>
      </x:c>
      <x:c r="E5" s="24" t="str">
        <x:v>Submersion replacement logic; elevation; conduit water path; enclosure ratings; stormwater/scour mitigation</x:v>
      </x:c>
      <x:c r="F5" s="24" t="str">
        <x:v>Final numeric utility-scale depth-damage functions</x:v>
      </x:c>
      <x:c r="G5" s="24" t="str">
        <x:v>high</x:v>
      </x:c>
    </x:row>
    <x:row r="6">
      <x:c r="A6" s="24" t="str">
        <x:v>NEMA_GD1_WATER_DAMAGE</x:v>
      </x:c>
      <x:c r="B6" s="24" t="str">
        <x:v>NEMA GD 1-2019 Evaluating Water-Damaged Electrical Equipment</x:v>
      </x:c>
      <x:c r="C6" s="24" t="str">
        <x:v>standard/guidance</x:v>
      </x:c>
      <x:c r="D6" s="24" t="str">
        <x:v>https://www.nema.org/standards/view/evaluating-water-damaged-electrical-equipment</x:v>
      </x:c>
      <x:c r="E6" s="24" t="str">
        <x:v>Replacement/reconditioning logic for water-exposed electrical equipment</x:v>
      </x:c>
      <x:c r="F6" s="24" t="str">
        <x:v>Solar-specific curves or continuous depth functions</x:v>
      </x:c>
      <x:c r="G6" s="24" t="str">
        <x:v>high</x:v>
      </x:c>
    </x:row>
    <x:row r="7">
      <x:c r="A7" s="24" t="str">
        <x:v>NEMA_WATER_DAMAGE_GUIDE</x:v>
      </x:c>
      <x:c r="B7" s="24" t="str">
        <x:v>NEMA Guidelines for Handling Water-Damaged Electrical Equipment</x:v>
      </x:c>
      <x:c r="C7" s="24" t="str">
        <x:v>guidance PDF</x:v>
      </x:c>
      <x:c r="D7" s="24" t="str">
        <x:v>https://www.nema.org/docs/default-source/products-document-library/guidelines-handling-water-damaged-elect-equip.pdf</x:v>
      </x:c>
      <x:c r="E7" s="24" t="str">
        <x:v>Hazards from moisture, debris, contaminants, saltwater; need for proper evaluation/replacement</x:v>
      </x:c>
      <x:c r="F7" s="24" t="str">
        <x:v>Component-specific PV costs</x:v>
      </x:c>
      <x:c r="G7" s="24" t="str">
        <x:v>high</x:v>
      </x:c>
    </x:row>
    <x:row r="8">
      <x:c r="A8" s="24" t="str">
        <x:v>FEMA_HAZUS_FLOOD</x:v>
      </x:c>
      <x:c r="B8" s="24" t="str">
        <x:v>FEMA Hazus Flood Model Technical Manual</x:v>
      </x:c>
      <x:c r="C8" s="24" t="str">
        <x:v>loss-model technical manual</x:v>
      </x:c>
      <x:c r="D8" s="24" t="str">
        <x:v>https://www.fema.gov/sites/default/files/documents/fema_hazus-flood-model-technical-manual-6-1.pdf</x:v>
      </x:c>
      <x:c r="E8" s="24" t="str">
        <x:v>Depth-damage functions; utility component damage; equipment-height and value-based loss framing</x:v>
      </x:c>
      <x:c r="F8" s="24" t="str">
        <x:v>PV-specific equipment fragility</x:v>
      </x:c>
      <x:c r="G8" s="24" t="str">
        <x:v>high</x:v>
      </x:c>
    </x:row>
    <x:row r="9">
      <x:c r="A9" s="24" t="str">
        <x:v>FEMA_P348_UTILITIES</x:v>
      </x:c>
      <x:c r="B9" s="24" t="str">
        <x:v>FEMA P-348 Protecting Building Utility Systems from Flood Damage</x:v>
      </x:c>
      <x:c r="C9" s="24" t="str">
        <x:v>utility floodproofing guide</x:v>
      </x:c>
      <x:c r="D9" s="24" t="str">
        <x:v>https://www.fema.gov/sites/default/files/2020-07/fema_p-348_protecting_building_utility_systems_from_flood_damage_2017.pdf</x:v>
      </x:c>
      <x:c r="E9" s="24" t="str">
        <x:v>Utility-system elevation and flood-resistant design logic</x:v>
      </x:c>
      <x:c r="F9" s="24" t="str">
        <x:v>PV-specific loss curves</x:v>
      </x:c>
      <x:c r="G9" s="24" t="str">
        <x:v>high</x:v>
      </x:c>
    </x:row>
    <x:row r="10">
      <x:c r="A10" s="24" t="str">
        <x:v>NEMA_ENCLOSURE_TYPES</x:v>
      </x:c>
      <x:c r="B10" s="24" t="str">
        <x:v>NEMA Enclosure Types</x:v>
      </x:c>
      <x:c r="C10" s="24" t="str">
        <x:v>enclosure rating table</x:v>
      </x:c>
      <x:c r="D10" s="24" t="str">
        <x:v>https://www.nema.org/docs/default-source/products-document-library/nema-enclosure-types.pdf</x:v>
      </x:c>
      <x:c r="E10" s="24" t="str">
        <x:v>NEMA type categories; rain/hosedown/submersion distinctions</x:v>
      </x:c>
      <x:c r="F10" s="24" t="str">
        <x:v>Full water-damage replacement cost</x:v>
      </x:c>
      <x:c r="G10" s="24" t="str">
        <x:v>high</x:v>
      </x:c>
    </x:row>
    <x:row r="11">
      <x:c r="A11" s="24" t="str">
        <x:v>ASCE_24</x:v>
      </x:c>
      <x:c r="B11" s="24" t="str">
        <x:v>ASCE 24 Flood Resistant Design and Construction</x:v>
      </x:c>
      <x:c r="C11" s="24" t="str">
        <x:v>design standard</x:v>
      </x:c>
      <x:c r="D11" s="24" t="str">
        <x:v>https://www.asce.org/publications-and-news/codes-and-standards/asce-sei-24-24</x:v>
      </x:c>
      <x:c r="E11" s="24" t="str">
        <x:v>Flood-resistant design, utilities/equipment placement, elevation/floodproofing context</x:v>
      </x:c>
      <x:c r="F11" s="24" t="str">
        <x:v>Damage curve parameters</x:v>
      </x:c>
      <x:c r="G11" s="24" t="str">
        <x:v>high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0ec3de7d30649b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Evidence-to-Parameter Map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Shows which source supports which future curve rule.</x:v>
      </x:c>
    </x:row>
    <x:row r="4">
      <x:c r="A4" s="19" t="str">
        <x:v>parameter_or_rule</x:v>
      </x:c>
      <x:c r="B4" s="19" t="str">
        <x:v>evidence_id</x:v>
      </x:c>
      <x:c r="C4" s="19" t="str">
        <x:v>how used</x:v>
      </x:c>
      <x:c r="D4" s="19" t="str">
        <x:v>confidence</x:v>
      </x:c>
      <x:c r="E4" s="19" t="str">
        <x:v>v1.0 task</x:v>
      </x:c>
    </x:row>
    <x:row r="5">
      <x:c r="A5" s="24" t="str">
        <x:v>total_submersion_replacement_trigger</x:v>
      </x:c>
      <x:c r="B5" s="24" t="str">
        <x:v>DOE_FEMP_PV_FLOOD; NEMA_GD1_WATER_DAMAGE</x:v>
      </x:c>
      <x:c r="C5" s="24" t="str">
        <x:v>Supports high DR/replacement state when solar/electrical components are submerged</x:v>
      </x:c>
      <x:c r="D5" s="24" t="str">
        <x:v>high direction / medium numeric</x:v>
      </x:c>
      <x:c r="E5" s="24" t="str">
        <x:v>Define DR cap and recondition-vs-replace state</x:v>
      </x:c>
    </x:row>
    <x:row r="6">
      <x:c r="A6" s="24" t="str">
        <x:v>depth_above_component_datum_formula</x:v>
      </x:c>
      <x:c r="B6" s="24" t="str">
        <x:v>FEMA_HAZUS_FLOOD; FEMA_P348_UTILITIES; ASCE_24</x:v>
      </x:c>
      <x:c r="C6" s="24" t="str">
        <x:v>Supports equipment-height/elevation framing and utility floodproofing logic</x:v>
      </x:c>
      <x:c r="D6" s="24" t="str">
        <x:v>high</x:v>
      </x:c>
      <x:c r="E6" s="24" t="str">
        <x:v>Define datum requirements and default critical elevations</x:v>
      </x:c>
    </x:row>
    <x:row r="7">
      <x:c r="A7" s="24" t="str">
        <x:v>NEMA_selector_rule</x:v>
      </x:c>
      <x:c r="B7" s="24" t="str">
        <x:v>NEMA_ENCLOSURE_TYPES</x:v>
      </x:c>
      <x:c r="C7" s="24" t="str">
        <x:v>Differentiates rain/hosedown vs temporary/prolonged submersion protection</x:v>
      </x:c>
      <x:c r="D7" s="24" t="str">
        <x:v>high</x:v>
      </x:c>
      <x:c r="E7" s="24" t="str">
        <x:v>Create NEMA-to-curve-selector table</x:v>
      </x:c>
    </x:row>
    <x:row r="8">
      <x:c r="A8" s="24" t="str">
        <x:v>conduit_water_path_modifier</x:v>
      </x:c>
      <x:c r="B8" s="24" t="str">
        <x:v>DOE_FEMP_PV_FLOOD</x:v>
      </x:c>
      <x:c r="C8" s="24" t="str">
        <x:v>Supports water transport through pullboxes/conduits to inverters/switchgear</x:v>
      </x:c>
      <x:c r="D8" s="24" t="str">
        <x:v>high direction / low numeric</x:v>
      </x:c>
      <x:c r="E8" s="24" t="str">
        <x:v>Create pathway modifier or state branch</x:v>
      </x:c>
    </x:row>
    <x:row r="9">
      <x:c r="A9" s="24" t="str">
        <x:v>duration_conditioner</x:v>
      </x:c>
      <x:c r="B9" s="24" t="str">
        <x:v>NEMA_WATER_DAMAGE_GUIDE</x:v>
      </x:c>
      <x:c r="C9" s="24" t="str">
        <x:v>Duration impacts corrosion/reconditioning outcome</x:v>
      </x:c>
      <x:c r="D9" s="24" t="str">
        <x:v>medium</x:v>
      </x:c>
      <x:c r="E9" s="24" t="str">
        <x:v>Decide if modifier or deferred axis</x:v>
      </x:c>
    </x:row>
    <x:row r="10">
      <x:c r="A10" s="24" t="str">
        <x:v>contamination_conditioner</x:v>
      </x:c>
      <x:c r="B10" s="24" t="str">
        <x:v>NEMA_WATER_DAMAGE_GUIDE</x:v>
      </x:c>
      <x:c r="C10" s="24" t="str">
        <x:v>Salt, sewage, chemicals, debris change recovery and safety</x:v>
      </x:c>
      <x:c r="D10" s="24" t="str">
        <x:v>medium-high direction / low numeric</x:v>
      </x:c>
      <x:c r="E10" s="24" t="str">
        <x:v>Categorical modifiers</x:v>
      </x:c>
    </x:row>
    <x:row r="11">
      <x:c r="A11" s="24" t="str">
        <x:v>scour_velocity_axis</x:v>
      </x:c>
      <x:c r="B11" s="24" t="str">
        <x:v>DOE_FEMP_PV_FLOOD</x:v>
      </x:c>
      <x:c r="C11" s="24" t="str">
        <x:v>Stormwater and velocity can undermine foundation piles/equipment pads</x:v>
      </x:c>
      <x:c r="D11" s="24" t="str">
        <x:v>medium</x:v>
      </x:c>
      <x:c r="E11" s="24" t="str">
        <x:v>Find civil scour sources for v1.0/v1.1</x:v>
      </x:c>
    </x:row>
    <x:row r="12">
      <x:c r="A12" s="24" t="str">
        <x:v>value_link_to_component_inventory</x:v>
      </x:c>
      <x:c r="B12" s="24" t="str">
        <x:v>FEMA_HAZUS_FLOOD; valuation ledger</x:v>
      </x:c>
      <x:c r="C12" s="24" t="str">
        <x:v>Loss = percent damage × component value mirrors our value-link strategy</x:v>
      </x:c>
      <x:c r="D12" s="24" t="str">
        <x:v>high</x:v>
      </x:c>
      <x:c r="E12" s="24" t="str">
        <x:v>Link each curve record to value bucket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b6b8160785c46e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Damage-Code Interface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Input/output contract for damage-code layer. Financial metrics are downstream.</x:v>
      </x:c>
    </x:row>
    <x:row r="4">
      <x:c r="A4" s="19" t="str">
        <x:v>field</x:v>
      </x:c>
      <x:c r="B4" s="19" t="str">
        <x:v>required?</x:v>
      </x:c>
      <x:c r="C4" s="19" t="str">
        <x:v>applies_to</x:v>
      </x:c>
      <x:c r="D4" s="19" t="str">
        <x:v>description</x:v>
      </x:c>
      <x:c r="E4" s="19" t="str">
        <x:v>example</x:v>
      </x:c>
    </x:row>
    <x:row r="5">
      <x:c r="A5" s="24" t="str">
        <x:v>cell_id</x:v>
      </x:c>
      <x:c r="B5" s="24" t="str">
        <x:v>yes</x:v>
      </x:c>
      <x:c r="C5" s="24" t="str">
        <x:v>all</x:v>
      </x:c>
      <x:c r="D5" s="24" t="str">
        <x:v>Hazard × asset cell</x:v>
      </x:c>
      <x:c r="E5" s="24" t="str">
        <x:v>FLOOD_SOLAR</x:v>
      </x:c>
    </x:row>
    <x:row r="6">
      <x:c r="A6" s="24" t="str">
        <x:v>failure_unit_id</x:v>
      </x:c>
      <x:c r="B6" s="24" t="str">
        <x:v>yes</x:v>
      </x:c>
      <x:c r="C6" s="24" t="str">
        <x:v>all</x:v>
      </x:c>
      <x:c r="D6" s="24" t="str">
        <x:v>Atomic damage-code / curve-record ID</x:v>
      </x:c>
      <x:c r="E6" s="24" t="str">
        <x:v>FS_INV_INGRESS_V0_1</x:v>
      </x:c>
    </x:row>
    <x:row r="7">
      <x:c r="A7" s="24" t="str">
        <x:v>hazard_input.water_surface_elevation_m</x:v>
      </x:c>
      <x:c r="B7" s="24" t="str">
        <x:v>conditional</x:v>
      </x:c>
      <x:c r="C7" s="24" t="str">
        <x:v>depth records</x:v>
      </x:c>
      <x:c r="D7" s="24" t="str">
        <x:v>Absolute water surface elevation</x:v>
      </x:c>
      <x:c r="E7" s="24" t="str">
        <x:v>102.5</x:v>
      </x:c>
    </x:row>
    <x:row r="8">
      <x:c r="A8" s="24" t="str">
        <x:v>hazard_input.local_flood_depth_m</x:v>
      </x:c>
      <x:c r="B8" s="24" t="str">
        <x:v>conditional</x:v>
      </x:c>
      <x:c r="C8" s="24" t="str">
        <x:v>depth records</x:v>
      </x:c>
      <x:c r="D8" s="24" t="str">
        <x:v>Depth above local grade if no absolute datum</x:v>
      </x:c>
      <x:c r="E8" s="24" t="str">
        <x:v>1.2</x:v>
      </x:c>
    </x:row>
    <x:row r="9">
      <x:c r="A9" s="24" t="str">
        <x:v>hazard_input.flow_velocity_mps</x:v>
      </x:c>
      <x:c r="B9" s="24" t="str">
        <x:v>conditional</x:v>
      </x:c>
      <x:c r="C9" s="24" t="str">
        <x:v>scour records</x:v>
      </x:c>
      <x:c r="D9" s="24" t="str">
        <x:v>Flood flow velocity</x:v>
      </x:c>
      <x:c r="E9" s="24" t="str">
        <x:v>1.5</x:v>
      </x:c>
    </x:row>
    <x:row r="10">
      <x:c r="A10" s="24" t="str">
        <x:v>asset.component_critical_elevation_m</x:v>
      </x:c>
      <x:c r="B10" s="24" t="str">
        <x:v>yes for depth</x:v>
      </x:c>
      <x:c r="C10" s="24" t="str">
        <x:v>depth records</x:v>
      </x:c>
      <x:c r="D10" s="24" t="str">
        <x:v>Component-specific vulnerable elevation</x:v>
      </x:c>
      <x:c r="E10" s="24" t="str">
        <x:v>101.5</x:v>
      </x:c>
    </x:row>
    <x:row r="11">
      <x:c r="A11" s="24" t="str">
        <x:v>computed.water_depth_above_component_m</x:v>
      </x:c>
      <x:c r="B11" s="24" t="str">
        <x:v>yes</x:v>
      </x:c>
      <x:c r="C11" s="24" t="str">
        <x:v>depth records</x:v>
      </x:c>
      <x:c r="D11" s="24" t="str">
        <x:v>max(0,WSE-z_crit)</x:v>
      </x:c>
      <x:c r="E11" s="24" t="str">
        <x:v>1.0</x:v>
      </x:c>
    </x:row>
    <x:row r="12">
      <x:c r="A12" s="24" t="str">
        <x:v>selector.NEMA_type</x:v>
      </x:c>
      <x:c r="B12" s="24" t="str">
        <x:v>optional</x:v>
      </x:c>
      <x:c r="C12" s="24" t="str">
        <x:v>enclosures</x:v>
      </x:c>
      <x:c r="D12" s="24" t="str">
        <x:v>NEMA enclosure type</x:v>
      </x:c>
      <x:c r="E12" s="24" t="str">
        <x:v>4X</x:v>
      </x:c>
    </x:row>
    <x:row r="13">
      <x:c r="A13" s="24" t="str">
        <x:v>selector.IP_rating</x:v>
      </x:c>
      <x:c r="B13" s="24" t="str">
        <x:v>optional</x:v>
      </x:c>
      <x:c r="C13" s="24" t="str">
        <x:v>enclosures</x:v>
      </x:c>
      <x:c r="D13" s="24" t="str">
        <x:v>Ingress protection rating</x:v>
      </x:c>
      <x:c r="E13" s="24" t="str">
        <x:v>IP65</x:v>
      </x:c>
    </x:row>
    <x:row r="14">
      <x:c r="A14" s="24" t="str">
        <x:v>conditioner.energized_state</x:v>
      </x:c>
      <x:c r="B14" s="24" t="str">
        <x:v>recommended</x:v>
      </x:c>
      <x:c r="C14" s="24" t="str">
        <x:v>electrical</x:v>
      </x:c>
      <x:c r="D14" s="24" t="str">
        <x:v>Whether component was energized during exposure</x:v>
      </x:c>
      <x:c r="E14" s="24" t="str">
        <x:v>deenergized</x:v>
      </x:c>
    </x:row>
    <x:row r="15">
      <x:c r="A15" s="24" t="str">
        <x:v>conditioner.contamination_class</x:v>
      </x:c>
      <x:c r="B15" s="24" t="str">
        <x:v>recommended</x:v>
      </x:c>
      <x:c r="C15" s="24" t="str">
        <x:v>all flooded</x:v>
      </x:c>
      <x:c r="D15" s="24" t="str">
        <x:v>Floodwater quality class</x:v>
      </x:c>
      <x:c r="E15" s="24" t="str">
        <x:v>salt_brackish</x:v>
      </x:c>
    </x:row>
    <x:row r="16">
      <x:c r="A16" s="24" t="str">
        <x:v>conditioner.duration_hr</x:v>
      </x:c>
      <x:c r="B16" s="24" t="str">
        <x:v>recommended</x:v>
      </x:c>
      <x:c r="C16" s="24" t="str">
        <x:v>all flooded</x:v>
      </x:c>
      <x:c r="D16" s="24" t="str">
        <x:v>Inundation duration</x:v>
      </x:c>
      <x:c r="E16" s="24" t="str">
        <x:v>24</x:v>
      </x:c>
    </x:row>
    <x:row r="17">
      <x:c r="A17" s="24" t="str">
        <x:v>exposure.exposure_fraction</x:v>
      </x:c>
      <x:c r="B17" s="24" t="str">
        <x:v>recommended</x:v>
      </x:c>
      <x:c r="C17" s="24" t="str">
        <x:v>all</x:v>
      </x:c>
      <x:c r="D17" s="24" t="str">
        <x:v>Fraction of units/value bucket affected</x:v>
      </x:c>
      <x:c r="E17" s="24" t="str">
        <x:v>0.75</x:v>
      </x:c>
    </x:row>
    <x:row r="18">
      <x:c r="A18" s="24" t="str">
        <x:v>output.damage_ratio</x:v>
      </x:c>
      <x:c r="B18" s="24" t="str">
        <x:v>yes</x:v>
      </x:c>
      <x:c r="C18" s="24" t="str">
        <x:v>all</x:v>
      </x:c>
      <x:c r="D18" s="24" t="str">
        <x:v>Failure-unit DR emitted by damage code</x:v>
      </x:c>
      <x:c r="E18" s="24" t="str">
        <x:v>0.0–1.0</x:v>
      </x:c>
    </x:row>
    <x:row r="19">
      <x:c r="A19" s="24" t="str">
        <x:v>output.replacement_vs_recondition_state</x:v>
      </x:c>
      <x:c r="B19" s="24" t="str">
        <x:v>optional</x:v>
      </x:c>
      <x:c r="C19" s="24" t="str">
        <x:v>electrical</x:v>
      </x:c>
      <x:c r="D19" s="24" t="str">
        <x:v>No damage / inspect / recondition / replace</x:v>
      </x:c>
      <x:c r="E19" s="24" t="str">
        <x:v>replace</x:v>
      </x:c>
    </x:row>
    <x:row r="20">
      <x:c r="A20" s="24" t="str">
        <x:v>output.assumption_flags</x:v>
      </x:c>
      <x:c r="B20" s="24" t="str">
        <x:v>yes</x:v>
      </x:c>
      <x:c r="C20" s="24" t="str">
        <x:v>all</x:v>
      </x:c>
      <x:c r="D20" s="24" t="str">
        <x:v>Open assumptions applied</x:v>
      </x:c>
      <x:c r="E20" s="24" t="str">
        <x:v>ELEVATION_DEFAULT_USED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f127e680ae041b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v1.0 Derivation Plan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Recommended order for deriving numeric curves after this scaffold.</x:v>
      </x:c>
    </x:row>
    <x:row r="4">
      <x:c r="A4" s="19" t="str">
        <x:v>priority</x:v>
      </x:c>
      <x:c r="B4" s="19" t="str">
        <x:v>task</x:v>
      </x:c>
      <x:c r="C4" s="19" t="str">
        <x:v>failure_unit</x:v>
      </x:c>
      <x:c r="D4" s="19" t="str">
        <x:v>why</x:v>
      </x:c>
      <x:c r="E4" s="19" t="str">
        <x:v>needed evidence / inputs</x:v>
      </x:c>
      <x:c r="F4" s="19" t="str">
        <x:v>status</x:v>
      </x:c>
    </x:row>
    <x:row r="5">
      <x:c r="A5" s="24" t="n">
        <x:v>1</x:v>
      </x:c>
      <x:c r="B5" s="24" t="str">
        <x:v>Derive inverter inundation curve</x:v>
      </x:c>
      <x:c r="C5" s="24" t="str">
        <x:v>FS_INV_INGRESS_V0_1</x:v>
      </x:c>
      <x:c r="D5" s="24" t="str">
        <x:v>High materiality and direct solar-specific guidance</x:v>
      </x:c>
      <x:c r="E5" s="24" t="str">
        <x:v>critical elevation; NEMA/IP; replacement/reconditioning rule</x:v>
      </x:c>
      <x:c r="F5" s="24" t="str">
        <x:v>next</x:v>
      </x:c>
    </x:row>
    <x:row r="6">
      <x:c r="A6" s="24" t="n">
        <x:v>2</x:v>
      </x:c>
      <x:c r="B6" s="24" t="str">
        <x:v>Derive switchgear inundation curve</x:v>
      </x:c>
      <x:c r="C6" s="24" t="str">
        <x:v>FS_SWITCHGEAR_INGRESS_V0_1</x:v>
      </x:c>
      <x:c r="D6" s="24" t="str">
        <x:v>High materiality; substation outage significance</x:v>
      </x:c>
      <x:c r="E6" s="24" t="str">
        <x:v>switchgear elevation; NEMA/IP; state model</x:v>
      </x:c>
      <x:c r="F6" s="24" t="str">
        <x:v>next</x:v>
      </x:c>
    </x:row>
    <x:row r="7">
      <x:c r="A7" s="24" t="n">
        <x:v>3</x:v>
      </x:c>
      <x:c r="B7" s="24" t="str">
        <x:v>Derive transformer/control inundation curve</x:v>
      </x:c>
      <x:c r="C7" s="24" t="str">
        <x:v>FS_TRANSFORMER_INGRESS_V0_1</x:v>
      </x:c>
      <x:c r="D7" s="24" t="str">
        <x:v>Plant-scope material bucket; may split controls vs main transformer</x:v>
      </x:c>
      <x:c r="E7" s="24" t="str">
        <x:v>control cabinet elevation; transformer type; contamination</x:v>
      </x:c>
      <x:c r="F7" s="24" t="str">
        <x:v>next</x:v>
      </x:c>
    </x:row>
    <x:row r="8">
      <x:c r="A8" s="24" t="n">
        <x:v>4</x:v>
      </x:c>
      <x:c r="B8" s="24" t="str">
        <x:v>Derive combiner/DC protection curve</x:v>
      </x:c>
      <x:c r="C8" s="24" t="str">
        <x:v>FS_COMBINER_DC_INGRESS_V0_1</x:v>
      </x:c>
      <x:c r="D8" s="24" t="str">
        <x:v>Distributed lower-elevation enclosures; many units</x:v>
      </x:c>
      <x:c r="E8" s="24" t="str">
        <x:v>enclosure heights; NEMA/IP; value share</x:v>
      </x:c>
      <x:c r="F8" s="24" t="str">
        <x:v>after core three</x:v>
      </x:c>
    </x:row>
    <x:row r="9">
      <x:c r="A9" s="24" t="n">
        <x:v>5</x:v>
      </x:c>
      <x:c r="B9" s="24" t="str">
        <x:v>Derive SCADA/control cabinet curve</x:v>
      </x:c>
      <x:c r="C9" s="24" t="str">
        <x:v>FS_SCADA_INGRESS_V0_1</x:v>
      </x:c>
      <x:c r="D9" s="24" t="str">
        <x:v>Ops-critical, lower value</x:v>
      </x:c>
      <x:c r="E9" s="24" t="str">
        <x:v>cabinet elevation; electronics elevation; redundancy</x:v>
      </x:c>
      <x:c r="F9" s="24" t="str">
        <x:v>after core three</x:v>
      </x:c>
    </x:row>
    <x:row r="10">
      <x:c r="A10" s="24" t="n">
        <x:v>6</x:v>
      </x:c>
      <x:c r="B10" s="24" t="str">
        <x:v>Build conduit water-path modifier</x:v>
      </x:c>
      <x:c r="C10" s="24" t="str">
        <x:v>FS_COLLECTION_CONDUIT_PATH_V0_1</x:v>
      </x:c>
      <x:c r="D10" s="24" t="str">
        <x:v>May trigger hidden ingress into inverters/switchgear</x:v>
      </x:c>
      <x:c r="E10" s="24" t="str">
        <x:v>conduit slope/seals; pullbox elevations; DOE/FEMP pathway</x:v>
      </x:c>
      <x:c r="F10" s="24" t="str">
        <x:v>after core electrical</x:v>
      </x:c>
    </x:row>
    <x:row r="11">
      <x:c r="A11" s="24" t="n">
        <x:v>7</x:v>
      </x:c>
      <x:c r="B11" s="24" t="str">
        <x:v>Separate foundation/scour derivation</x:v>
      </x:c>
      <x:c r="C11" s="24" t="str">
        <x:v>FS_FOUNDATION_SCOUR_V0_1</x:v>
      </x:c>
      <x:c r="D11" s="24" t="str">
        <x:v>Different physics</x:v>
      </x:c>
      <x:c r="E11" s="24" t="str">
        <x:v>velocity/scour hydraulic sources; soil/foundation type</x:v>
      </x:c>
      <x:c r="F11" s="24" t="str">
        <x:v>defer</x:v>
      </x:c>
    </x:row>
    <x:row r="12">
      <x:c r="A12" s="24" t="n">
        <x:v>8</x:v>
      </x:c>
      <x:c r="B12" s="24" t="str">
        <x:v>Module submersion/debris treatment</x:v>
      </x:c>
      <x:c r="C12" s="24" t="str">
        <x:v>FS_PV_MODULE_SUBMERSION_V0_1</x:v>
      </x:c>
      <x:c r="D12" s="24" t="str">
        <x:v>Conditional; not default primary</x:v>
      </x:c>
      <x:c r="E12" s="24" t="str">
        <x:v>module lower edge elevation; debris/sediment; value materiality</x:v>
      </x:c>
      <x:c r="F12" s="24" t="str">
        <x:v>site-dependent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4b6fe934a6a433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QA Review Checklist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Confirms scaffold completeness and marks items intentionally deferred.</x:v>
      </x:c>
    </x:row>
    <x:row r="4">
      <x:c r="A4" s="19" t="str">
        <x:v>check</x:v>
      </x:c>
      <x:c r="B4" s="19" t="str">
        <x:v>status</x:v>
      </x:c>
      <x:c r="C4" s="19" t="str">
        <x:v>notes</x:v>
      </x:c>
    </x:row>
    <x:row r="5">
      <x:c r="A5" s="24" t="str">
        <x:v>Cell identity defined</x:v>
      </x:c>
      <x:c r="B5" s="24" t="str">
        <x:v>PASS</x:v>
      </x:c>
      <x:c r="C5" s="24" t="str">
        <x:v>FLOOD_SOLAR defined as multi-failure-unit geometry cell.</x:v>
      </x:c>
    </x:row>
    <x:row r="6">
      <x:c r="A6" s="24" t="str">
        <x:v>Primary failure-units identified</x:v>
      </x:c>
      <x:c r="B6" s="24" t="str">
        <x:v>PASS</x:v>
      </x:c>
      <x:c r="C6" s="24" t="str">
        <x:v>Inverter, switchgear, transformer/control, combiner/DC protection, SCADA.</x:v>
      </x:c>
    </x:row>
    <x:row r="7">
      <x:c r="A7" s="24" t="str">
        <x:v>Reviewed secondary/DR≈0 buckets documented</x:v>
      </x:c>
      <x:c r="B7" s="24" t="str">
        <x:v>PASS</x:v>
      </x:c>
      <x:c r="C7" s="24" t="str">
        <x:v>PV modules, mounting, collection, civil, foundation, drainage/protection reviewed.</x:v>
      </x:c>
    </x:row>
    <x:row r="8">
      <x:c r="A8" s="24" t="str">
        <x:v>X-axis decision documented</x:v>
      </x:c>
      <x:c r="B8" s="24" t="str">
        <x:v>PASS</x:v>
      </x:c>
      <x:c r="C8" s="24" t="str">
        <x:v>Depth above component datum for electrical; velocity/scour for civil/foundation.</x:v>
      </x:c>
    </x:row>
    <x:row r="9">
      <x:c r="A9" s="24" t="str">
        <x:v>Curve-form alternatives documented</x:v>
      </x:c>
      <x:c r="B9" s="24" t="str">
        <x:v>PASS</x:v>
      </x:c>
      <x:c r="C9" s="24" t="str">
        <x:v>Step, smoothed threshold, piecewise, state model, scour threshold.</x:v>
      </x:c>
    </x:row>
    <x:row r="10">
      <x:c r="A10" s="24" t="str">
        <x:v>Evidence links included</x:v>
      </x:c>
      <x:c r="B10" s="24" t="str">
        <x:v>PASS</x:v>
      </x:c>
      <x:c r="C10" s="24" t="str">
        <x:v>DOE/FEMP, NEMA, FEMA/Hazus, FEMA P-348, NEMA enclosures, ASCE 24.</x:v>
      </x:c>
    </x:row>
    <x:row r="11">
      <x:c r="A11" s="24" t="str">
        <x:v>Numeric curve final</x:v>
      </x:c>
      <x:c r="B11" s="24" t="str">
        <x:v>NOT YET</x:v>
      </x:c>
      <x:c r="C11" s="24" t="str">
        <x:v>v0.1 is scaffold; v1.0 should derive numeric curves.</x:v>
      </x:c>
    </x:row>
    <x:row r="12">
      <x:c r="A12" s="24" t="str">
        <x:v>Value basis locked</x:v>
      </x:c>
      <x:c r="B12" s="24" t="str">
        <x:v>PENDING LINK</x:v>
      </x:c>
      <x:c r="C12" s="24" t="str">
        <x:v>Use valuation workbook in v1.0; each failure-unit must link to value bucket.</x:v>
      </x:c>
    </x:row>
    <x:row r="13">
      <x:c r="A13" s="24" t="str">
        <x:v>Equipment elevation defaults</x:v>
      </x:c>
      <x:c r="B13" s="24" t="str">
        <x:v>OPEN</x:v>
      </x:c>
      <x:c r="C13" s="24" t="str">
        <x:v>Need site-specific elevations or default assumption table.</x:v>
      </x:c>
    </x:row>
    <x:row r="14">
      <x:c r="A14" s="24" t="str">
        <x:v>Conduit pathway model</x:v>
      </x:c>
      <x:c r="B14" s="24" t="str">
        <x:v>OPEN</x:v>
      </x:c>
      <x:c r="C14" s="24" t="str">
        <x:v>Needs modifier/state logic.</x:v>
      </x:c>
    </x:row>
    <x:row r="15">
      <x:c r="A15" s="24" t="str">
        <x:v>Scour curve</x:v>
      </x:c>
      <x:c r="B15" s="24" t="str">
        <x:v>OPEN</x:v>
      </x:c>
      <x:c r="C15" s="24" t="str">
        <x:v>Needs separate civil/hydraulic source.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51dfe9efc154eb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Flood × Solar v0.1 — Open Seams and Update Triggers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Known unresolved issues before final curve derivation.</x:v>
      </x:c>
    </x:row>
    <x:row r="4">
      <x:c r="A4" s="19" t="str">
        <x:v>open_seam_id</x:v>
      </x:c>
      <x:c r="B4" s="19" t="str">
        <x:v>severity</x:v>
      </x:c>
      <x:c r="C4" s="19" t="str">
        <x:v>description</x:v>
      </x:c>
      <x:c r="D4" s="19" t="str">
        <x:v>why it matters</x:v>
      </x:c>
      <x:c r="E4" s="19" t="str">
        <x:v>update trigger</x:v>
      </x:c>
    </x:row>
    <x:row r="5">
      <x:c r="A5" s="24" t="str">
        <x:v>SEAM_FLOOD_NUMERIC_DEPTH_DAMAGE</x:v>
      </x:c>
      <x:c r="B5" s="24" t="str">
        <x:v>high</x:v>
      </x:c>
      <x:c r="C5" s="24" t="str">
        <x:v>Need component-specific numeric curves or state thresholds.</x:v>
      </x:c>
      <x:c r="D5" s="24" t="str">
        <x:v>Required for v1.0 DR outputs.</x:v>
      </x:c>
      <x:c r="E5" s="24" t="str">
        <x:v>Find claim data, manufacturer guidance, or defensible standards-derived parameters.</x:v>
      </x:c>
    </x:row>
    <x:row r="6">
      <x:c r="A6" s="24" t="str">
        <x:v>SEAM_FLOOD_EQUIPMENT_ELEVATION_DATA</x:v>
      </x:c>
      <x:c r="B6" s="24" t="str">
        <x:v>high</x:v>
      </x:c>
      <x:c r="C6" s="24" t="str">
        <x:v>Equipment elevations often unavailable.</x:v>
      </x:c>
      <x:c r="D6" s="24" t="str">
        <x:v>Flood exposure is geometry-driven.</x:v>
      </x:c>
      <x:c r="E6" s="24" t="str">
        <x:v>Add site elevation survey or default elevation table.</x:v>
      </x:c>
    </x:row>
    <x:row r="7">
      <x:c r="A7" s="24" t="str">
        <x:v>SEAM_FLOOD_RECONDITION_VS_REPLACE</x:v>
      </x:c>
      <x:c r="B7" s="24" t="str">
        <x:v>high</x:v>
      </x:c>
      <x:c r="C7" s="24" t="str">
        <x:v>Need rule for DR state after water exposure.</x:v>
      </x:c>
      <x:c r="D7" s="24" t="str">
        <x:v>DR could be replacement, reconditioning, or expected cost.</x:v>
      </x:c>
      <x:c r="E7" s="24" t="str">
        <x:v>NEMA/manufacturer/insurer recovery data.</x:v>
      </x:c>
    </x:row>
    <x:row r="8">
      <x:c r="A8" s="24" t="str">
        <x:v>SEAM_FLOOD_CONDUIT_PATHWAY</x:v>
      </x:c>
      <x:c r="B8" s="24" t="str">
        <x:v>medium-high</x:v>
      </x:c>
      <x:c r="C8" s="24" t="str">
        <x:v>Water can travel through pullboxes/conduits into equipment.</x:v>
      </x:c>
      <x:c r="D8" s="24" t="str">
        <x:v>Can damage equipment above local flood depth.</x:v>
      </x:c>
      <x:c r="E8" s="24" t="str">
        <x:v>Conduit routing/sealing details or field data.</x:v>
      </x:c>
    </x:row>
    <x:row r="9">
      <x:c r="A9" s="24" t="str">
        <x:v>SEAM_FLOOD_DURATION_CONTAMINATION</x:v>
      </x:c>
      <x:c r="B9" s="24" t="str">
        <x:v>medium</x:v>
      </x:c>
      <x:c r="C9" s="24" t="str">
        <x:v>Duration and contamination likely affect severity.</x:v>
      </x:c>
      <x:c r="D9" s="24" t="str">
        <x:v>Can shift reconditioning to replacement.</x:v>
      </x:c>
      <x:c r="E9" s="24" t="str">
        <x:v>Source numeric modifiers or state rules.</x:v>
      </x:c>
    </x:row>
    <x:row r="10">
      <x:c r="A10" s="24" t="str">
        <x:v>SEAM_FLOOD_SCOUR</x:v>
      </x:c>
      <x:c r="B10" s="24" t="str">
        <x:v>medium</x:v>
      </x:c>
      <x:c r="C10" s="24" t="str">
        <x:v>Foundation/civil scour is separate pathway.</x:v>
      </x:c>
      <x:c r="D10" s="24" t="str">
        <x:v>Important for bottom-of-hill/flow path sites.</x:v>
      </x:c>
      <x:c r="E10" s="24" t="str">
        <x:v>Hydraulic/civil scour sources.</x:v>
      </x:c>
    </x:row>
    <x:row r="11">
      <x:c r="A11" s="24" t="str">
        <x:v>SEAM_FLOOD_SHARED_PLANT_ALLOCATION</x:v>
      </x:c>
      <x:c r="B11" s="24" t="str">
        <x:v>medium</x:v>
      </x:c>
      <x:c r="C11" s="24" t="str">
        <x:v>Substation/SCADA are plant-scope and may serve hybrid assets.</x:v>
      </x:c>
      <x:c r="D11" s="24" t="str">
        <x:v>Damage code should emit physical DR; allocation happens downstream.</x:v>
      </x:c>
      <x:c r="E11" s="24" t="str">
        <x:v>Hybrid asset reporting rules.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95c9e7cb897492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36" hidden="0" customWidth="1"/>
    <x:col min="7" max="7" width="4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0" customHeight="1">
      <x:c r="A1" s="50" t="str">
        <x:v>Controlled Lists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2" customHeight="1">
      <x:c r="A2" s="12" t="str">
        <x:v>Controlled vocabularies used by the flood × solar scaffold.</x:v>
      </x:c>
    </x:row>
    <x:row r="4">
      <x:c r="A4" s="32" t="str">
        <x:v>List</x:v>
      </x:c>
      <x:c r="B4" s="32" t="str">
        <x:v>Values</x:v>
      </x:c>
    </x:row>
    <x:row r="5">
      <x:c r="A5" s="24" t="str">
        <x:v>role</x:v>
      </x:c>
      <x:c r="B5" s="24" t="str">
        <x:v>primary_nonzero; secondary_nonzero; conditional_secondary; exposure_modifier; reviewed_secondary; reviewed_DR_near_zero</x:v>
      </x:c>
    </x:row>
    <x:row r="6">
      <x:c r="A6" s="24" t="str">
        <x:v>x_axis_id</x:v>
      </x:c>
      <x:c r="B6" s="24" t="str">
        <x:v>FLOOD_DEPTH_ABOVE_COMPONENT_DATUM; WATER_SURFACE_ELEVATION; LOCAL_FLOOD_DEPTH_ABOVE_GRADE; FLOOD_FLOW_VELOCITY_MPS; DEPTH_VELOCITY_PROXY</x:v>
      </x:c>
    </x:row>
    <x:row r="7">
      <x:c r="A7" s="24" t="str">
        <x:v>curve_form</x:v>
      </x:c>
      <x:c r="B7" s="24" t="str">
        <x:v>step_trigger; smoothed_threshold_logistic; piecewise_ramp; categorical_state_model; scour_threshold</x:v>
      </x:c>
    </x:row>
    <x:row r="8">
      <x:c r="A8" s="24" t="str">
        <x:v>contamination_class</x:v>
      </x:c>
      <x:c r="B8" s="24" t="str">
        <x:v>fresh_clean; sediment_laden; sewage_chemical; salt_brackish; unknown</x:v>
      </x:c>
    </x:row>
    <x:row r="9">
      <x:c r="A9" s="24" t="str">
        <x:v>energized_state</x:v>
      </x:c>
      <x:c r="B9" s="24" t="str">
        <x:v>energized; deenergized; unknown</x:v>
      </x:c>
    </x:row>
    <x:row r="10">
      <x:c r="A10" s="24" t="str">
        <x:v>NEMA_type</x:v>
      </x:c>
      <x:c r="B10" s="24" t="str">
        <x:v>1;2;3;3R;4;4X;6;6P;12;13;unknown</x:v>
      </x:c>
    </x:row>
    <x:row r="11">
      <x:c r="A11" s="24" t="str">
        <x:v>status</x:v>
      </x:c>
      <x:c r="B11" s="24" t="str">
        <x:v>scaffold_ready; numeric_pending; derive_first; derive_second; defer; open_seam</x:v>
      </x:c>
    </x:row>
  </x:sheetData>
  <x:mergeCells>
    <x:mergeCell ref="A1:D1"/>
    <x:mergeCell ref="A2:D2"/>
  </x:mergeCells>
  <x:pageMargins left="0.7" right="0.7" top="0.75" bottom="0.75" header="0.3" footer="0.3"/>
</x:worksheet>
</file>