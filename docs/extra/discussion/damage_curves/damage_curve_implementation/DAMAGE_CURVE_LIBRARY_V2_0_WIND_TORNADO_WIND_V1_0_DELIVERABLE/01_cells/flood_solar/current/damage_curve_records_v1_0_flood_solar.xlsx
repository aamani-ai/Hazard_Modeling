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6d91182be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HORT" sheetId="1" r:id="Rd7c18b70a35f48c3"/>
    <x:sheet xmlns:r="http://schemas.openxmlformats.org/officeDocument/2006/relationships" name="Cell_Snapshot" sheetId="2" r:id="Ref3dbf3451814855"/>
    <x:sheet xmlns:r="http://schemas.openxmlformats.org/officeDocument/2006/relationships" name="Flood_Coverage" sheetId="3" r:id="R294b6a6a5ade42fd"/>
    <x:sheet xmlns:r="http://schemas.openxmlformats.org/officeDocument/2006/relationships" name="Flood_X_Axis_Decision" sheetId="4" r:id="R3189c922c5b04f4d"/>
    <x:sheet xmlns:r="http://schemas.openxmlformats.org/officeDocument/2006/relationships" name="Flood_Evidence_Params" sheetId="5" r:id="Rafa8ece1aa7e4ee8"/>
    <x:sheet xmlns:r="http://schemas.openxmlformats.org/officeDocument/2006/relationships" name="Flood_Base_Curve_Fit" sheetId="6" r:id="Rff0d89c3f6914d5e"/>
    <x:sheet xmlns:r="http://schemas.openxmlformats.org/officeDocument/2006/relationships" name="Flood_Adjustment_Rules" sheetId="7" r:id="Rf84cf4fac90948ba"/>
    <x:sheet xmlns:r="http://schemas.openxmlformats.org/officeDocument/2006/relationships" name="Flood_Variant_Catalog" sheetId="8" r:id="R8271acbcfe4148ee"/>
    <x:sheet xmlns:r="http://schemas.openxmlformats.org/officeDocument/2006/relationships" name="Flood_Assumption_Register" sheetId="9" r:id="Rc4c329f501f34db2"/>
    <x:sheet xmlns:r="http://schemas.openxmlformats.org/officeDocument/2006/relationships" name="Damage_Code_Interface" sheetId="10" r:id="R26121406261f414b"/>
    <x:sheet xmlns:r="http://schemas.openxmlformats.org/officeDocument/2006/relationships" name="Value_Link" sheetId="11" r:id="Rc905e8ea48224f16"/>
    <x:sheet xmlns:r="http://schemas.openxmlformats.org/officeDocument/2006/relationships" name="Site_Inputs" sheetId="12" r:id="Re008eeef9e4c4c65"/>
    <x:sheet xmlns:r="http://schemas.openxmlformats.org/officeDocument/2006/relationships" name="Flood_Curve_Data" sheetId="13" r:id="Re9cbd49477354ffd"/>
    <x:sheet xmlns:r="http://schemas.openxmlformats.org/officeDocument/2006/relationships" name="Site_Applied_Loss" sheetId="14" r:id="R05ad32dda79641ca"/>
    <x:sheet xmlns:r="http://schemas.openxmlformats.org/officeDocument/2006/relationships" name="Flood_Dashboard" sheetId="15" r:id="R0aa6121f760f4310"/>
    <x:sheet xmlns:r="http://schemas.openxmlformats.org/officeDocument/2006/relationships" name="Flood_QA" sheetId="16" r:id="Rfac37cf00a34401e"/>
    <x:sheet xmlns:r="http://schemas.openxmlformats.org/officeDocument/2006/relationships" name="Sources" sheetId="17" r:id="Rdef0b9030191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$#,##0"/>
    <x:numFmt numFmtId="202" formatCode="0.0%"/>
    <x:numFmt numFmtId="203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sz val="10"/>
      <x:name val="Courier New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8FAFC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1" fillId="2" borderId="0" xfId="0" applyNumberFormat="1" applyFont="1" applyFill="1" applyBorder="1" applyAlignment="1">
      <x:alignment horizontal="left" vertical="center" wrapText="1"/>
    </x:xf>
    <x:xf numFmtId="203" fontId="1" fillId="2" borderId="1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DDEF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4cac8bd35444d" /><Relationship Type="http://schemas.openxmlformats.org/officeDocument/2006/relationships/theme" Target="/xl/theme/theme1.xml" Id="Rc30c3ed3c6f44813" /><Relationship Type="http://schemas.openxmlformats.org/officeDocument/2006/relationships/sharedStrings" Target="/xl/sharedStrings.xml" Id="Rbdbf293d580a4163" /><Relationship Type="http://schemas.openxmlformats.org/officeDocument/2006/relationships/worksheet" Target="/xl/worksheets/sheet1.xml" Id="Rd7c18b70a35f48c3" /><Relationship Type="http://schemas.openxmlformats.org/officeDocument/2006/relationships/worksheet" Target="/xl/worksheets/sheet2.xml" Id="Ref3dbf3451814855" /><Relationship Type="http://schemas.openxmlformats.org/officeDocument/2006/relationships/worksheet" Target="/xl/worksheets/sheet3.xml" Id="R294b6a6a5ade42fd" /><Relationship Type="http://schemas.openxmlformats.org/officeDocument/2006/relationships/worksheet" Target="/xl/worksheets/sheet4.xml" Id="R3189c922c5b04f4d" /><Relationship Type="http://schemas.openxmlformats.org/officeDocument/2006/relationships/worksheet" Target="/xl/worksheets/sheet5.xml" Id="Rafa8ece1aa7e4ee8" /><Relationship Type="http://schemas.openxmlformats.org/officeDocument/2006/relationships/worksheet" Target="/xl/worksheets/sheet6.xml" Id="Rff0d89c3f6914d5e" /><Relationship Type="http://schemas.openxmlformats.org/officeDocument/2006/relationships/worksheet" Target="/xl/worksheets/sheet7.xml" Id="Rf84cf4fac90948ba" /><Relationship Type="http://schemas.openxmlformats.org/officeDocument/2006/relationships/worksheet" Target="/xl/worksheets/sheet8.xml" Id="R8271acbcfe4148ee" /><Relationship Type="http://schemas.openxmlformats.org/officeDocument/2006/relationships/worksheet" Target="/xl/worksheets/sheet9.xml" Id="Rc4c329f501f34db2" /><Relationship Type="http://schemas.openxmlformats.org/officeDocument/2006/relationships/worksheet" Target="/xl/worksheets/sheet10.xml" Id="R26121406261f414b" /><Relationship Type="http://schemas.openxmlformats.org/officeDocument/2006/relationships/worksheet" Target="/xl/worksheets/sheet11.xml" Id="Rc905e8ea48224f16" /><Relationship Type="http://schemas.openxmlformats.org/officeDocument/2006/relationships/worksheet" Target="/xl/worksheets/sheet12.xml" Id="Re008eeef9e4c4c65" /><Relationship Type="http://schemas.openxmlformats.org/officeDocument/2006/relationships/worksheet" Target="/xl/worksheets/sheet13.xml" Id="Re9cbd49477354ffd" /><Relationship Type="http://schemas.openxmlformats.org/officeDocument/2006/relationships/worksheet" Target="/xl/worksheets/sheet14.xml" Id="R05ad32dda79641ca" /><Relationship Type="http://schemas.openxmlformats.org/officeDocument/2006/relationships/worksheet" Target="/xl/worksheets/sheet15.xml" Id="R0aa6121f760f4310" /><Relationship Type="http://schemas.openxmlformats.org/officeDocument/2006/relationships/worksheet" Target="/xl/worksheets/sheet16.xml" Id="Rfac37cf00a34401e" /><Relationship Type="http://schemas.openxmlformats.org/officeDocument/2006/relationships/worksheet" Target="/xl/worksheets/sheet17.xml" Id="Rdef0b903019148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7fb1bc6ec34c96" /><Relationship Type="http://schemas.openxmlformats.org/officeDocument/2006/relationships/chart" Target="/xl/drawings/charts/chart2.xml" Id="Rc1911890ec7f4fac" /><Relationship Type="http://schemas.openxmlformats.org/officeDocument/2006/relationships/chart" Target="/xl/drawings/charts/chart3.xml" Id="Rdf7c945203484d6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FS_INV</c:v>
          </c:tx>
          <c:cat>
            <c:strRef>
              <c:f>'Flood_Curve_Data'!$E$4:$M$4</c:f>
              <c:strCache>
                <c:ptCount val="0"/>
              </c:strCache>
            </c:strRef>
          </c:cat>
          <c:val>
            <c:numRef>
              <c:f>'Flood_Curve_Data'!$E$5:$M$5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FS_SWG</c:v>
          </c:tx>
          <c:cat>
            <c:strRef>
              <c:f>'Flood_Curve_Data'!$E$4:$M$4</c:f>
              <c:strCache>
                <c:ptCount val="0"/>
              </c:strCache>
            </c:strRef>
          </c:cat>
          <c:val>
            <c:numRef>
              <c:f>'Flood_Curve_Data'!$E$6:$M$6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FS_XFMR</c:v>
          </c:tx>
          <c:cat>
            <c:strRef>
              <c:f>'Flood_Curve_Data'!$E$4:$M$4</c:f>
              <c:strCache>
                <c:ptCount val="0"/>
              </c:strCache>
            </c:strRef>
          </c:cat>
          <c:val>
            <c:numRef>
              <c:f>'Flood_Curve_Data'!$E$7:$M$7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FS_COMB</c:v>
          </c:tx>
          <c:cat>
            <c:strRef>
              <c:f>'Flood_Curve_Data'!$E$4:$M$4</c:f>
              <c:strCache>
                <c:ptCount val="0"/>
              </c:strCache>
            </c:strRef>
          </c:cat>
          <c:val>
            <c:numRef>
              <c:f>'Flood_Curve_Data'!$E$8:$M$8</c:f>
              <c:numCache>
                <c:formatCode>0%</c:formatCode>
                <c:ptCount val="0"/>
              </c:numCache>
            </c:numRef>
          </c:val>
          <c:smooth val="0"/>
        </c:ser>
        <c:ser>
          <c:idx val="4"/>
          <c:order val="4"/>
          <c:tx>
            <c:v>FS_SCADA</c:v>
          </c:tx>
          <c:cat>
            <c:strRef>
              <c:f>'Flood_Curve_Data'!$E$4:$M$4</c:f>
              <c:strCache>
                <c:ptCount val="0"/>
              </c:strCache>
            </c:strRef>
          </c:cat>
          <c:val>
            <c:numRef>
              <c:f>'Flood_Curve_Data'!$E$9:$M$9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%TIV</c:v>
          </c:tx>
          <c:cat>
            <c:strRef>
              <c:f>'Site_Applied_Loss'!$A$5:$A$25</c:f>
              <c:strCache>
                <c:ptCount val="0"/>
              </c:strCache>
            </c:strRef>
          </c:cat>
          <c:val>
            <c:numRef>
              <c:f>'Site_Applied_Loss'!$Y$5:$Y$25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%Physical base</c:v>
          </c:tx>
          <c:cat>
            <c:strRef>
              <c:f>'Site_Applied_Loss'!$A$5:$A$25</c:f>
              <c:strCache>
                <c:ptCount val="0"/>
              </c:strCache>
            </c:strRef>
          </c:cat>
          <c:val>
            <c:numRef>
              <c:f>'Site_Applied_Loss'!$X$5:$X$25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Loss</c:v>
          </c:tx>
          <c:cat>
            <c:strRef>
              <c:f>'Flood_Dashboard'!$A$13:$A$19</c:f>
              <c:strCache>
                <c:ptCount val="0"/>
              </c:strCache>
            </c:strRef>
          </c:cat>
          <c:val>
            <c:numRef>
              <c:f>'Flood_Dashboard'!$D$13:$D$19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7fb1bc6ec34c96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911890ec7f4fac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7c945203484d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able" displayName="ReadmeTable" ref="A4:B11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FloodCoverageTable" displayName="FloodCoverageTable" ref="A4:G14" headerRowCount="1">
  <x:tableColumns count="7">
    <x:tableColumn id="1" name="coverage_role"/>
    <x:tableColumn id="2" name="subsystem"/>
    <x:tableColumn id="3" name="component"/>
    <x:tableColumn id="4" name="failure_mode"/>
    <x:tableColumn id="5" name="x_axis"/>
    <x:tableColumn id="6" name="v1_treatment"/>
    <x:tableColumn id="7" name="rationale"/>
  </x:tableColumns>
  <x:tableStyleInfo name="TableStyleMedium2" showRowStripes="1"/>
</x:table>
</file>

<file path=xl/tables/table3.xml><?xml version="1.0" encoding="utf-8"?>
<x:table xmlns:x="http://schemas.openxmlformats.org/spreadsheetml/2006/main" id="3" name="FloodXAxisDecisionTable" displayName="FloodXAxisDecisionTable" ref="A4:C9" headerRowCount="1">
  <x:tableColumns count="3">
    <x:tableColumn id="1" name="decision"/>
    <x:tableColumn id="2" name="candidate_axis"/>
    <x:tableColumn id="3" name="rationale"/>
  </x:tableColumns>
  <x:tableStyleInfo name="TableStyleMedium2" showRowStripes="1"/>
</x:table>
</file>

<file path=xl/tables/table4.xml><?xml version="1.0" encoding="utf-8"?>
<x:table xmlns:x="http://schemas.openxmlformats.org/spreadsheetml/2006/main" id="4" name="FloodAxisTable" displayName="FloodAxisTable" ref="A12:E15" headerRowCount="1">
  <x:tableColumns count="5">
    <x:tableColumn id="1" name="x_axis_id"/>
    <x:tableColumn id="2" name="unit"/>
    <x:tableColumn id="3" name="chain_node"/>
    <x:tableColumn id="4" name="formula_or_proxy"/>
    <x:tableColumn id="5" name="use"/>
  </x:tableColumns>
  <x:tableStyleInfo name="TableStyleMedium2" showRowStripes="1"/>
</x:table>
</file>

<file path=xl/tables/table5.xml><?xml version="1.0" encoding="utf-8"?>
<x:table xmlns:x="http://schemas.openxmlformats.org/spreadsheetml/2006/main" id="5" name="FloodEvidenceParams" displayName="FloodEvidenceParams" ref="A4:E13" headerRowCount="1">
  <x:tableColumns count="5">
    <x:tableColumn id="1" name="parameter_id"/>
    <x:tableColumn id="2" name="parameter_or_rule"/>
    <x:tableColumn id="3" name="evidence_id"/>
    <x:tableColumn id="4" name="supports"/>
    <x:tableColumn id="5" name="evidence_strength"/>
  </x:tableColumns>
  <x:tableStyleInfo name="TableStyleMedium2" showRowStripes="1"/>
</x:table>
</file>

<file path=xl/tables/table6.xml><?xml version="1.0" encoding="utf-8"?>
<x:table xmlns:x="http://schemas.openxmlformats.org/spreadsheetml/2006/main" id="6" name="DepthCurveTable" displayName="DepthCurveTable" ref="A4:M11" headerRowCount="1">
  <x:tableColumns count="13">
    <x:tableColumn id="1" name="failure_unit_id"/>
    <x:tableColumn id="2" name="curve_name"/>
    <x:tableColumn id="3" name="source_basis"/>
    <x:tableColumn id="4" name="curve_form"/>
    <x:tableColumn id="5" name="0.00m"/>
    <x:tableColumn id="6" name="0.02m"/>
    <x:tableColumn id="7" name="0.05m"/>
    <x:tableColumn id="8" name="0.15m"/>
    <x:tableColumn id="9" name="0.30m"/>
    <x:tableColumn id="10" name="0.60m"/>
    <x:tableColumn id="11" name="1.00m"/>
    <x:tableColumn id="12" name="1.50m"/>
    <x:tableColumn id="13" name="2.00m"/>
  </x:tableColumns>
  <x:tableStyleInfo name="TableStyleMedium2" showRowStripes="1"/>
</x:table>
</file>

<file path=xl/tables/table7.xml><?xml version="1.0" encoding="utf-8"?>
<x:table xmlns:x="http://schemas.openxmlformats.org/spreadsheetml/2006/main" id="7" name="VelocityCurveTable" displayName="VelocityCurveTable" ref="A18:K19" headerRowCount="1">
  <x:tableColumns count="11">
    <x:tableColumn id="1" name="failure_unit_id"/>
    <x:tableColumn id="2" name="curve_name"/>
    <x:tableColumn id="3" name="source_basis"/>
    <x:tableColumn id="4" name="curve_form"/>
    <x:tableColumn id="5" name="0.0m/s"/>
    <x:tableColumn id="6" name="0.5m/s"/>
    <x:tableColumn id="7" name="1.0m/s"/>
    <x:tableColumn id="8" name="1.5m/s"/>
    <x:tableColumn id="9" name="2.0m/s"/>
    <x:tableColumn id="10" name="3.0m/s"/>
    <x:tableColumn id="11" name="4.0m/s"/>
  </x:tableColumns>
  <x:tableStyleInfo name="TableStyleMedium2" showRowStripes="1"/>
</x:table>
</file>

<file path=xl/tables/table8.xml><?xml version="1.0" encoding="utf-8"?>
<x:table xmlns:x="http://schemas.openxmlformats.org/spreadsheetml/2006/main" id="8" name="FloodAdjustmentRules" displayName="FloodAdjustmentRules" ref="A4:D10" headerRowCount="1">
  <x:tableColumns count="4">
    <x:tableColumn id="1" name="rule_type"/>
    <x:tableColumn id="2" name="when_to_use"/>
    <x:tableColumn id="3" name="flood_solar_example"/>
    <x:tableColumn id="4" name="why"/>
  </x:tableColumns>
  <x:tableStyleInfo name="TableStyleMedium2" showRowStripes="1"/>
</x:table>
</file>

<file path=xl/tables/table9.xml><?xml version="1.0" encoding="utf-8"?>
<x:table xmlns:x="http://schemas.openxmlformats.org/spreadsheetml/2006/main" id="9" name="FloodVariantCatalog" displayName="FloodVariantCatalog" ref="A4:D12" headerRowCount="1">
  <x:tableColumns count="4">
    <x:tableColumn id="1" name="variant_id"/>
    <x:tableColumn id="2" name="configuration"/>
    <x:tableColumn id="3" name="treatment"/>
    <x:tableColumn id="4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FloodAssumptions" displayName="FloodAssumptions" ref="A4:E11" headerRowCount="1">
  <x:tableColumns count="5">
    <x:tableColumn id="1" name="assumption_id"/>
    <x:tableColumn id="2" name="assumption"/>
    <x:tableColumn id="3" name="materiality"/>
    <x:tableColumn id="4" name="replacement_trigger"/>
    <x:tableColumn id="5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FloodDamageCodeInterface" displayName="FloodDamageCodeInterface" ref="A4:D15" headerRowCount="1">
  <x:tableColumns count="4">
    <x:tableColumn id="1" name="category"/>
    <x:tableColumn id="2" name="field"/>
    <x:tableColumn id="3" name="requiredness"/>
    <x:tableColumn id="4" name="description"/>
  </x:tableColumns>
  <x:tableStyleInfo name="TableStyleMedium2" showRowStripes="1"/>
</x:table>
</file>

<file path=xl/tables/table12.xml><?xml version="1.0" encoding="utf-8"?>
<x:table xmlns:x="http://schemas.openxmlformats.org/spreadsheetml/2006/main" id="12" name="FloodValueLink" displayName="FloodValueLink" ref="A4:K12" headerRowCount="1">
  <x:tableColumns count="11">
    <x:tableColumn id="1" name="value_id"/>
    <x:tableColumn id="2" name="failure_unit"/>
    <x:tableColumn id="3" name="subsystem"/>
    <x:tableColumn id="4" name="component"/>
    <x:tableColumn id="5" name="physical_value_usd"/>
    <x:tableColumn id="6" name="physical_share"/>
    <x:tableColumn id="7" name="installed_share"/>
    <x:tableColumn id="8" name="role"/>
    <x:tableColumn id="9" name="f_kind"/>
    <x:tableColumn id="10" name="cap_L_usd"/>
    <x:tableColumn id="11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FloodSiteInputs" displayName="FloodSiteInputs" ref="A4:C9" headerRowCount="1">
  <x:tableColumns count="3">
    <x:tableColumn id="1" name="input"/>
    <x:tableColumn id="2" name="value"/>
    <x:tableColumn id="3" name="unit/notes"/>
  </x:tableColumns>
  <x:tableStyleInfo name="TableStyleMedium2" showRowStripes="1"/>
</x:table>
</file>

<file path=xl/tables/table14.xml><?xml version="1.0" encoding="utf-8"?>
<x:table xmlns:x="http://schemas.openxmlformats.org/spreadsheetml/2006/main" id="14" name="FloodSiteMetadata" displayName="FloodSiteMetadata" ref="A12:F19" headerRowCount="1">
  <x:tableColumns count="6">
    <x:tableColumn id="1" name="value_id"/>
    <x:tableColumn id="2" name="critical_elevation_m"/>
    <x:tableColumn id="3" name="exposure_fraction"/>
    <x:tableColumn id="4" name="default_selector"/>
    <x:tableColumn id="5" name="default_conditioner"/>
    <x:tableColumn id="6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FloodCurveDataDepth" displayName="FloodCurveDataDepth" ref="A4:M11" headerRowCount="1">
  <x:tableColumns count="13">
    <x:tableColumn id="1" name="failure_unit_id"/>
    <x:tableColumn id="2" name="curve_name"/>
    <x:tableColumn id="3" name="source_basis"/>
    <x:tableColumn id="4" name="curve_form"/>
    <x:tableColumn id="5" name="0.00m"/>
    <x:tableColumn id="6" name="0.02m"/>
    <x:tableColumn id="7" name="0.05m"/>
    <x:tableColumn id="8" name="0.15m"/>
    <x:tableColumn id="9" name="0.30m"/>
    <x:tableColumn id="10" name="0.60m"/>
    <x:tableColumn id="11" name="1.00m"/>
    <x:tableColumn id="12" name="1.50m"/>
    <x:tableColumn id="13" name="2.00m"/>
  </x:tableColumns>
  <x:tableStyleInfo name="TableStyleMedium2" showRowStripes="1"/>
</x:table>
</file>

<file path=xl/tables/table16.xml><?xml version="1.0" encoding="utf-8"?>
<x:table xmlns:x="http://schemas.openxmlformats.org/spreadsheetml/2006/main" id="16" name="FloodCurveDataVelocity" displayName="FloodCurveDataVelocity" ref="A18:K19" headerRowCount="1">
  <x:tableColumns count="11">
    <x:tableColumn id="1" name="failure_unit_id"/>
    <x:tableColumn id="2" name="curve_name"/>
    <x:tableColumn id="3" name="source_basis"/>
    <x:tableColumn id="4" name="curve_form"/>
    <x:tableColumn id="5" name="0.0m/s"/>
    <x:tableColumn id="6" name="0.5m/s"/>
    <x:tableColumn id="7" name="1.0m/s"/>
    <x:tableColumn id="8" name="1.5m/s"/>
    <x:tableColumn id="9" name="2.0m/s"/>
    <x:tableColumn id="10" name="3.0m/s"/>
    <x:tableColumn id="11" name="4.0m/s"/>
  </x:tableColumns>
  <x:tableStyleInfo name="TableStyleMedium2" showRowStripes="1"/>
</x:table>
</file>

<file path=xl/tables/table17.xml><?xml version="1.0" encoding="utf-8"?>
<x:table xmlns:x="http://schemas.openxmlformats.org/spreadsheetml/2006/main" id="17" name="FloodSiteAppliedLoss" displayName="FloodSiteAppliedLoss" ref="A4:Y25" headerRowCount="1">
  <x:tableColumns count="25">
    <x:tableColumn id="1" name="site_depth_m"/>
    <x:tableColumn id="2" name="FS_INV_local_depth"/>
    <x:tableColumn id="3" name="FS_INV_DR"/>
    <x:tableColumn id="4" name="FS_INV_loss_$"/>
    <x:tableColumn id="5" name="FS_SWG_local_depth"/>
    <x:tableColumn id="6" name="FS_SWG_DR"/>
    <x:tableColumn id="7" name="FS_SWG_loss_$"/>
    <x:tableColumn id="8" name="FS_XFMR_local_depth"/>
    <x:tableColumn id="9" name="FS_XFMR_DR"/>
    <x:tableColumn id="10" name="FS_XFMR_loss_$"/>
    <x:tableColumn id="11" name="FS_COMB_local_depth"/>
    <x:tableColumn id="12" name="FS_COMB_DR"/>
    <x:tableColumn id="13" name="FS_COMB_loss_$"/>
    <x:tableColumn id="14" name="FS_SCADA_local_depth"/>
    <x:tableColumn id="15" name="FS_SCADA_DR"/>
    <x:tableColumn id="16" name="FS_SCADA_loss_$"/>
    <x:tableColumn id="17" name="FS_CABLE_local_depth"/>
    <x:tableColumn id="18" name="FS_CABLE_DR"/>
    <x:tableColumn id="19" name="FS_CABLE_loss_$"/>
    <x:tableColumn id="20" name="FS_PVMOD_local_depth"/>
    <x:tableColumn id="21" name="FS_PVMOD_DR"/>
    <x:tableColumn id="22" name="FS_PVMOD_loss_$"/>
    <x:tableColumn id="23" name="aggregate_loss_$"/>
    <x:tableColumn id="24" name="%physical_base"/>
    <x:tableColumn id="25" name="%TIV"/>
  </x:tableColumns>
  <x:tableStyleInfo name="TableStyleMedium2" showRowStripes="1"/>
</x:table>
</file>

<file path=xl/tables/table18.xml><?xml version="1.0" encoding="utf-8"?>
<x:table xmlns:x="http://schemas.openxmlformats.org/spreadsheetml/2006/main" id="18" name="FloodSources" displayName="FloodSources" ref="A4:E12" headerRowCount="1">
  <x:tableColumns count="5">
    <x:tableColumn id="1" name="source_id"/>
    <x:tableColumn id="2" name="publisher"/>
    <x:tableColumn id="3" name="title"/>
    <x:tableColumn id="4" name="url"/>
    <x:tableColumn id="5" name="used_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79e596e74d42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b407cadf984b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f4037ac075476c" /><Relationship Type="http://schemas.openxmlformats.org/officeDocument/2006/relationships/table" Target="/xl/tables/table4.xml" Id="Rcb67a3a32be546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fb25764b1ba4c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012932a09804a8c" /><Relationship Type="http://schemas.openxmlformats.org/officeDocument/2006/relationships/table" Target="/xl/tables/table7.xml" Id="Rc6d92d6a8d6c4e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32dd06c958c54e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49ac9572f4ae46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984aa02f094c4ac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e2b56ba3cb0d4a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ef630e94ca4c495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ea30312ce64d4aa5" /><Relationship Type="http://schemas.openxmlformats.org/officeDocument/2006/relationships/table" Target="/xl/tables/table14.xml" Id="Red07d0b5f7e54d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5.xml" Id="Re6784bfefdb54f33" /><Relationship Type="http://schemas.openxmlformats.org/officeDocument/2006/relationships/table" Target="/xl/tables/table16.xml" Id="R370548b673164b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9c48139d4fd0433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f83096a92a5545a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d2fb0cec89dd49c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6" customHeight="1">
      <x:c r="A1" s="6" t="str">
        <x:v>Flood × Solar v1.0 — Derived Damage-Curve Cell</x:v>
      </x:c>
    </x:row>
    <x:row r="2" ht="42" customHeight="1">
      <x:c r="A2" s="14" t="str">
        <x:v>This workbook is the structured curve-record artifact for the flood × solar cell. It is not a full financial model; it emits failure-unit damage ratios and illustrates how those ratios link to value buckets.</x:v>
      </x:c>
    </x:row>
    <x:row r="4" ht="15" hidden="0" customHeight="1">
      <x:c r="A4" s="30" t="str">
        <x:v>Field</x:v>
      </x:c>
      <x:c r="B4" s="30" t="str">
        <x:v>Value</x:v>
      </x:c>
    </x:row>
    <x:row r="5" ht="15" hidden="0" customHeight="1">
      <x:c r="A5" s="31" t="str">
        <x:v>Status</x:v>
      </x:c>
      <x:c r="B5" s="31" t="str">
        <x:v>v1.0 derived curve package</x:v>
      </x:c>
    </x:row>
    <x:row r="6" ht="15" hidden="0" customHeight="1">
      <x:c r="A6" s="31" t="str">
        <x:v>Core architecture</x:v>
      </x:c>
      <x:c r="B6" s="31" t="str">
        <x:v>CELL = flood × solar; curve records = failure-units; value links = substrate subsystem/component buckets.</x:v>
      </x:c>
    </x:row>
    <x:row r="7" ht="15" hidden="0" customHeight="1">
      <x:c r="A7" s="31" t="str">
        <x:v>Primary x-axis</x:v>
      </x:c>
      <x:c r="B7" s="31" t="str">
        <x:v>Local water depth above component datum for electrical ingress/submersion curves.</x:v>
      </x:c>
    </x:row>
    <x:row r="8" ht="15" hidden="0" customHeight="1">
      <x:c r="A8" s="31" t="str">
        <x:v>Secondary x-axis</x:v>
      </x:c>
      <x:c r="B8" s="31" t="str">
        <x:v>Velocity/scour proxy for foundation/civil pathways.</x:v>
      </x:c>
    </x:row>
    <x:row r="9" ht="15" hidden="0" customHeight="1">
      <x:c r="A9" s="31" t="str">
        <x:v>Curve form</x:v>
      </x:c>
      <x:c r="B9" s="31" t="str">
        <x:v>Piecewise-linear / state curve, not logistic. Flood equipment damage is threshold/state-like.</x:v>
      </x:c>
    </x:row>
    <x:row r="10" ht="15" hidden="0" customHeight="1">
      <x:c r="A10" s="31" t="str">
        <x:v>Key caveat</x:v>
      </x:c>
      <x:c r="B10" s="31" t="str">
        <x:v>Numeric v1.0 curves are public-source-anchored engineering parameters. Replace with claims/forensic data when available.</x:v>
      </x:c>
    </x:row>
    <x:row r="11" ht="15" hidden="0" customHeight="1">
      <x:c r="A11" s="31" t="str">
        <x:v>Current package</x:v>
      </x:c>
      <x:c r="B11" s="31" t="str">
        <x:v>DAMAGE_CURVE_LIBRARY_V1_6_FLOOD_SOLAR_V1_0_DELIVERABLE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679e596e74d42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6" t="str">
        <x:v>Flood × Solar v1.0 Snapshot</x:v>
      </x:c>
    </x:row>
    <x:row r="2" ht="42" customHeight="1">
      <x:c r="A2" s="14" t="str">
        <x:v>A single-page identity view: what fails, what only modifies exposure, and what remains DR≈0 when elevated/protected.</x:v>
      </x:c>
    </x:row>
    <x:row r="4" ht="300" customHeight="1">
      <x:c r="A4" s="36" t="str">
        <x:v>flood × solar v1.0
├─ primary nonzero depth-driven electrical failure-units
│  ├─ INVERTER_SYSTEM / INVERTER / cabinet-skid inundation
│  ├─ SUBSTATION / SWITCHGEAR / cabinet inundation
│  ├─ SUBSTATION / TRANSFORMER_MAIN / transformer-control inundation
│  ├─ INVERTER_SYSTEM / COMBINER_BOX + DC_PROTECTION / enclosure inundation
│  └─ SCADA / MONITORING_SYSTEM / control-cabinet inundation
│
├─ conditional / secondary failure-units
│  ├─ ELECTRICAL_COLLECTION / CABLE_AC + CABLE_DC / conduit-trench water path
│  ├─ FOUNDATION / FOUNDATION_BASE / scour or wet-soil support degradation
│  ├─ CIVIL_INFRA / roads-access-fencing / erosion or debris
│  ├─ PV_ARRAY / PV_MODULE / total submersion or debris impact
│  └─ MOUNTING / RACKING_STRUCTURE / debris-velocity load, if applicable
│
├─ protection / exposure modifiers
│  ├─ SITE_DRAINAGE / DRAINAGE_SYSTEM / capacity exceedance
│  ├─ SITE_DRAINAGE / FLOOD_DEFENSE / overtopping or failure
│  ├─ equipment pad elevation and freeboard
│  ├─ conduit slope, drain path, and sealing
│  └─ shutdown / energized state before inundation
│
└─ DR≈0 direct-flood buckets in v1.0
   └─ equipment above waterline with no alternate conduit/water-ingress path</x:v>
      </x:c>
    </x:row>
  </x:sheetData>
  <x:mergeCells>
    <x:mergeCell ref="A1:H1"/>
    <x:mergeCell ref="A2:H2"/>
    <x:mergeCell ref="A4:H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26" customHeight="1">
      <x:c r="A1" s="6" t="str">
        <x:v>Flood × Solar Failure-Unit Coverage Map</x:v>
      </x:c>
    </x:row>
    <x:row r="2" ht="42" customHeight="1">
      <x:c r="A2" s="14" t="str">
        <x:v>Every material bucket is reviewed; not every bucket gets a nonzero curve.</x:v>
      </x:c>
    </x:row>
    <x:row r="4" ht="15" hidden="0" customHeight="1">
      <x:c r="A4" s="30" t="str">
        <x:v>coverage_role</x:v>
      </x:c>
      <x:c r="B4" s="30" t="str">
        <x:v>subsystem</x:v>
      </x:c>
      <x:c r="C4" s="30" t="str">
        <x:v>component</x:v>
      </x:c>
      <x:c r="D4" s="30" t="str">
        <x:v>failure_mode</x:v>
      </x:c>
      <x:c r="E4" s="30" t="str">
        <x:v>x_axis</x:v>
      </x:c>
      <x:c r="F4" s="30" t="str">
        <x:v>v1_treatment</x:v>
      </x:c>
      <x:c r="G4" s="30" t="str">
        <x:v>rationale</x:v>
      </x:c>
    </x:row>
    <x:row r="5" ht="15" hidden="0" customHeight="1">
      <x:c r="A5" s="31" t="str">
        <x:v>primary nonzero</x:v>
      </x:c>
      <x:c r="B5" s="31" t="str">
        <x:v>INVERTER_SYSTEM</x:v>
      </x:c>
      <x:c r="C5" s="31" t="str">
        <x:v>INVERTER</x:v>
      </x:c>
      <x:c r="D5" s="31" t="str">
        <x:v>cabinet/skid inundation</x:v>
      </x:c>
      <x:c r="E5" s="31" t="str">
        <x:v>depth above inverter critical datum</x:v>
      </x:c>
      <x:c r="F5" s="31" t="str">
        <x:v>included in v1.0</x:v>
      </x:c>
      <x:c r="G5" s="31" t="str">
        <x:v>Power electronics and controls are high-loss once water enters; DOE/FEMP flags inverters and electrical equipment.</x:v>
      </x:c>
    </x:row>
    <x:row r="6" ht="15" hidden="0" customHeight="1">
      <x:c r="A6" s="31" t="str">
        <x:v>primary nonzero</x:v>
      </x:c>
      <x:c r="B6" s="31" t="str">
        <x:v>SUBSTATION</x:v>
      </x:c>
      <x:c r="C6" s="31" t="str">
        <x:v>SWITCHGEAR</x:v>
      </x:c>
      <x:c r="D6" s="31" t="str">
        <x:v>switchgear/breaker cabinet inundation</x:v>
      </x:c>
      <x:c r="E6" s="31" t="str">
        <x:v>depth above switchgear critical datum</x:v>
      </x:c>
      <x:c r="F6" s="31" t="str">
        <x:v>included in v1.0</x:v>
      </x:c>
      <x:c r="G6" s="31" t="str">
        <x:v>NEMA replacement logic strongly supports high DR after water exposure.</x:v>
      </x:c>
    </x:row>
    <x:row r="7" ht="15" hidden="0" customHeight="1">
      <x:c r="A7" s="31" t="str">
        <x:v>primary nonzero</x:v>
      </x:c>
      <x:c r="B7" s="31" t="str">
        <x:v>SUBSTATION</x:v>
      </x:c>
      <x:c r="C7" s="31" t="str">
        <x:v>TRANSFORMER_MAIN</x:v>
      </x:c>
      <x:c r="D7" s="31" t="str">
        <x:v>transformer controls/terminal area inundation</x:v>
      </x:c>
      <x:c r="E7" s="31" t="str">
        <x:v>depth above transformer critical datum</x:v>
      </x:c>
      <x:c r="F7" s="31" t="str">
        <x:v>included in v1.0</x:v>
      </x:c>
      <x:c r="G7" s="31" t="str">
        <x:v>Liquid-filled transformer may be evaluated/reconditioned, so curve is less vertical than switchgear.</x:v>
      </x:c>
    </x:row>
    <x:row r="8" ht="15" hidden="0" customHeight="1">
      <x:c r="A8" s="31" t="str">
        <x:v>primary/secondary</x:v>
      </x:c>
      <x:c r="B8" s="31" t="str">
        <x:v>INVERTER_SYSTEM</x:v>
      </x:c>
      <x:c r="C8" s="31" t="str">
        <x:v>COMBINER_BOX + DC_PROTECTION</x:v>
      </x:c>
      <x:c r="D8" s="31" t="str">
        <x:v>combiner/DC protection water ingress</x:v>
      </x:c>
      <x:c r="E8" s="31" t="str">
        <x:v>depth above enclosure datum</x:v>
      </x:c>
      <x:c r="F8" s="31" t="str">
        <x:v>included in v1.0</x:v>
      </x:c>
      <x:c r="G8" s="31" t="str">
        <x:v>Small value but direct electrical ingress pathway.</x:v>
      </x:c>
    </x:row>
    <x:row r="9" ht="15" hidden="0" customHeight="1">
      <x:c r="A9" s="31" t="str">
        <x:v>secondary</x:v>
      </x:c>
      <x:c r="B9" s="31" t="str">
        <x:v>SCADA</x:v>
      </x:c>
      <x:c r="C9" s="31" t="str">
        <x:v>MONITORING_SYSTEM</x:v>
      </x:c>
      <x:c r="D9" s="31" t="str">
        <x:v>control/met/communications cabinet water ingress</x:v>
      </x:c>
      <x:c r="E9" s="31" t="str">
        <x:v>depth above cabinet datum</x:v>
      </x:c>
      <x:c r="F9" s="31" t="str">
        <x:v>included in v1.0</x:v>
      </x:c>
      <x:c r="G9" s="31" t="str">
        <x:v>Low value share but important operationally; electronics are water-sensitive.</x:v>
      </x:c>
    </x:row>
    <x:row r="10" ht="15" hidden="0" customHeight="1">
      <x:c r="A10" s="31" t="str">
        <x:v>conditional secondary</x:v>
      </x:c>
      <x:c r="B10" s="31" t="str">
        <x:v>ELECTRICAL_COLLECTION</x:v>
      </x:c>
      <x:c r="C10" s="31" t="str">
        <x:v>CABLE_AC + CABLE_DC</x:v>
      </x:c>
      <x:c r="D10" s="31" t="str">
        <x:v>conduit/trench water path and cable/termination damage</x:v>
      </x:c>
      <x:c r="E10" s="31" t="str">
        <x:v>depth/pathway; termination state</x:v>
      </x:c>
      <x:c r="F10" s="31" t="str">
        <x:v>included as secondary v1.0</x:v>
      </x:c>
      <x:c r="G10" s="31" t="str">
        <x:v>Wet-location cable may survive; dry cable/terminations and conduit contamination can drive replacement.</x:v>
      </x:c>
    </x:row>
    <x:row r="11" ht="15" hidden="0" customHeight="1">
      <x:c r="A11" s="31" t="str">
        <x:v>conditional secondary</x:v>
      </x:c>
      <x:c r="B11" s="31" t="str">
        <x:v>FOUNDATION</x:v>
      </x:c>
      <x:c r="C11" s="31" t="str">
        <x:v>FOUNDATION_BASE</x:v>
      </x:c>
      <x:c r="D11" s="31" t="str">
        <x:v>pile/pad scour or wet-soil support degradation</x:v>
      </x:c>
      <x:c r="E11" s="31" t="str">
        <x:v>velocity/scour proxy</x:v>
      </x:c>
      <x:c r="F11" s="31" t="str">
        <x:v>included as placeholder secondary</x:v>
      </x:c>
      <x:c r="G11" s="31" t="str">
        <x:v>Separate hydrodynamic/scour pathway; not a simple depth-only electrical curve.</x:v>
      </x:c>
    </x:row>
    <x:row r="12" ht="15" hidden="0" customHeight="1">
      <x:c r="A12" s="31" t="str">
        <x:v>conditional secondary</x:v>
      </x:c>
      <x:c r="B12" s="31" t="str">
        <x:v>PV_ARRAY</x:v>
      </x:c>
      <x:c r="C12" s="31" t="str">
        <x:v>PV_MODULE</x:v>
      </x:c>
      <x:c r="D12" s="31" t="str">
        <x:v>total submersion or debris impact</x:v>
      </x:c>
      <x:c r="E12" s="31" t="str">
        <x:v>depth above module lower edge</x:v>
      </x:c>
      <x:c r="F12" s="31" t="str">
        <x:v>included as conditional secondary</x:v>
      </x:c>
      <x:c r="G12" s="31" t="str">
        <x:v>Not primary for elevated arrays; DOE/FEMP says submerged modules may be total loss.</x:v>
      </x:c>
    </x:row>
    <x:row r="13" ht="15" hidden="0" customHeight="1">
      <x:c r="A13" s="31" t="str">
        <x:v>modifier/protection</x:v>
      </x:c>
      <x:c r="B13" s="31" t="str">
        <x:v>SITE_DRAINAGE</x:v>
      </x:c>
      <x:c r="C13" s="31" t="str">
        <x:v>DRAINAGE_SYSTEM + FLOOD_DEFENSE</x:v>
      </x:c>
      <x:c r="D13" s="31" t="str">
        <x:v>capacity exceedance, overtopping, drainage failure</x:v>
      </x:c>
      <x:c r="E13" s="31" t="str">
        <x:v>protection/exposure modifier</x:v>
      </x:c>
      <x:c r="F13" s="31" t="str">
        <x:v>not a loss curve v1.0</x:v>
      </x:c>
      <x:c r="G13" s="31" t="str">
        <x:v>Primarily modifies exposure; can become a damaged value bucket only if physical drainage assets fail.</x:v>
      </x:c>
    </x:row>
    <x:row r="14" ht="15" hidden="0" customHeight="1">
      <x:c r="A14" s="31" t="str">
        <x:v>DR≈0 if protected</x:v>
      </x:c>
      <x:c r="B14" s="31" t="str">
        <x:v>any</x:v>
      </x:c>
      <x:c r="C14" s="31" t="str">
        <x:v>equipment above waterline</x:v>
      </x:c>
      <x:c r="D14" s="31" t="str">
        <x:v>no contact/no ingress path</x:v>
      </x:c>
      <x:c r="E14" s="31" t="str">
        <x:v>local depth = 0</x:v>
      </x:c>
      <x:c r="F14" s="31" t="str">
        <x:v>explicit DR≈0</x:v>
      </x:c>
      <x:c r="G14" s="31" t="str">
        <x:v>Required for exhaustive reconciliation.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4b407cadf984b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.75" hidden="0" customWidth="1"/>
    <x:col min="2" max="2" width="10" hidden="0" customWidth="1"/>
    <x:col min="3" max="3" width="16.25" hidden="0" customWidth="1"/>
    <x:col min="4" max="4" width="20.75" hidden="0" customWidth="1"/>
    <x:col min="5" max="5" width="48.25" hidden="0" customWidth="1"/>
  </x:cols>
  <x:sheetData>
    <x:row r="1" ht="26" customHeight="1">
      <x:c r="A1" s="6" t="str">
        <x:v>Flood x-axis decision</x:v>
      </x:c>
    </x:row>
    <x:row r="2" ht="42" customHeight="1">
      <x:c r="A2" s="14" t="str">
        <x:v>Flood is not one generic axis. Electrical ingress uses local depth above datum; scour uses a velocity/scour proxy.</x:v>
      </x:c>
    </x:row>
    <x:row r="4" ht="15" hidden="0" customHeight="1">
      <x:c r="A4" s="30" t="str">
        <x:v>decision</x:v>
      </x:c>
      <x:c r="B4" s="30" t="str">
        <x:v>candidate_axis</x:v>
      </x:c>
      <x:c r="C4" s="30" t="str">
        <x:v>rationale</x:v>
      </x:c>
    </x:row>
    <x:row r="5" ht="15" hidden="0" customHeight="1">
      <x:c r="A5" s="31" t="str">
        <x:v>Rejected</x:v>
      </x:c>
      <x:c r="B5" s="31" t="str">
        <x:v>Flood depth at site → whole solar plant DR</x:v>
      </x:c>
      <x:c r="C5" s="31" t="str">
        <x:v>Too coarse; violates failure-unit granularity and hides equipment elevation.</x:v>
      </x:c>
    </x:row>
    <x:row r="6" ht="15" hidden="0" customHeight="1">
      <x:c r="A6" s="31" t="str">
        <x:v>Rejected in v1.0</x:v>
      </x:c>
      <x:c r="B6" s="31" t="str">
        <x:v>Full depth × duration × velocity curve for every component</x:v>
      </x:c>
      <x:c r="C6" s="31" t="str">
        <x:v>Realistic for some cases but too high-dimensional without better evidence.</x:v>
      </x:c>
    </x:row>
    <x:row r="7" ht="15" hidden="0" customHeight="1">
      <x:c r="A7" s="31" t="str">
        <x:v>Accepted</x:v>
      </x:c>
      <x:c r="B7" s="31" t="str">
        <x:v>Water depth above component datum → electrical ingress/submersion DR</x:v>
      </x:c>
      <x:c r="C7" s="31" t="str">
        <x:v>Directly aligns hazard intensity with the vulnerable portion of each component.</x:v>
      </x:c>
    </x:row>
    <x:row r="8" ht="15" hidden="0" customHeight="1">
      <x:c r="A8" s="31" t="str">
        <x:v>Accepted</x:v>
      </x:c>
      <x:c r="B8" s="31" t="str">
        <x:v>Velocity/scour proxy → foundation/civil/scour DR</x:v>
      </x:c>
      <x:c r="C8" s="31" t="str">
        <x:v>Separates structural erosion from electrical inundation.</x:v>
      </x:c>
    </x:row>
    <x:row r="9" ht="15" hidden="0" customHeight="1">
      <x:c r="A9" s="31" t="str">
        <x:v>Deferred</x:v>
      </x:c>
      <x:c r="B9" s="31" t="str">
        <x:v>Conduit network hydraulic routing model</x:v>
      </x:c>
      <x:c r="C9" s="31" t="str">
        <x:v>DOE/FEMP shows conduit water-path issue, but v1.0 captures it as modifier/open seam.</x:v>
      </x:c>
    </x:row>
    <x:row r="12" ht="15" hidden="0" customHeight="1">
      <x:c r="A12" s="30" t="str">
        <x:v>x_axis_id</x:v>
      </x:c>
      <x:c r="B12" s="30" t="str">
        <x:v>unit</x:v>
      </x:c>
      <x:c r="C12" s="30" t="str">
        <x:v>chain_node</x:v>
      </x:c>
      <x:c r="D12" s="30" t="str">
        <x:v>formula_or_proxy</x:v>
      </x:c>
      <x:c r="E12" s="30" t="str">
        <x:v>use</x:v>
      </x:c>
    </x:row>
    <x:row r="13" ht="15" hidden="0" customHeight="1">
      <x:c r="A13" s="31" t="str">
        <x:v>FLOOD_LOCAL_DEPTH_COMPONENT_DATUM</x:v>
      </x:c>
      <x:c r="B13" s="31" t="str">
        <x:v>m</x:v>
      </x:c>
      <x:c r="C13" s="31" t="str">
        <x:v>local/proximate</x:v>
      </x:c>
      <x:c r="D13" s="31" t="str">
        <x:v>h_i = max(0, WSE - z_i_crit)</x:v>
      </x:c>
      <x:c r="E13" s="31" t="str">
        <x:v>Primary axis for electrical ingress/submersion.</x:v>
      </x:c>
    </x:row>
    <x:row r="14" ht="15" hidden="0" customHeight="1">
      <x:c r="A14" s="31" t="str">
        <x:v>FLOOD_VELOCITY_SCOUR_PROXY</x:v>
      </x:c>
      <x:c r="B14" s="31" t="str">
        <x:v>m/s or proxy</x:v>
      </x:c>
      <x:c r="C14" s="31" t="str">
        <x:v>local/proximate</x:v>
      </x:c>
      <x:c r="D14" s="31" t="str">
        <x:v>velocity or scour index</x:v>
      </x:c>
      <x:c r="E14" s="31" t="str">
        <x:v>Secondary axis for foundation/civil scour.</x:v>
      </x:c>
    </x:row>
    <x:row r="15" ht="15" hidden="0" customHeight="1">
      <x:c r="A15" s="31" t="str">
        <x:v>FLOOD_DURATION_HOURS</x:v>
      </x:c>
      <x:c r="B15" s="31" t="str">
        <x:v>hours</x:v>
      </x:c>
      <x:c r="C15" s="31" t="str">
        <x:v>conditioner/deferred</x:v>
      </x:c>
      <x:c r="D15" s="31" t="str">
        <x:v>duration</x:v>
      </x:c>
      <x:c r="E15" s="31" t="str">
        <x:v>Carried as conditioner/open seam in v1.0, not a default 2-D axis.</x:v>
      </x:c>
    </x:row>
  </x:sheetData>
  <x:mergeCells>
    <x:mergeCell ref="A1:G1"/>
    <x:mergeCell ref="A2:G2"/>
  </x:mergeCells>
  <x:pageMargins left="0.7" right="0.7" top="0.75" bottom="0.75" header="0.3" footer="0.3"/>
  <x:tableParts count="2">
    <x:tablePart xmlns:r="http://schemas.openxmlformats.org/officeDocument/2006/relationships" r:id="R17f4037ac075476c"/>
    <x:tablePart xmlns:r="http://schemas.openxmlformats.org/officeDocument/2006/relationships" r:id="Rcb67a3a32be546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45" hidden="0" customWidth="1"/>
    <x:col min="4" max="4" width="45" hidden="0" customWidth="1"/>
    <x:col min="5" max="5" width="45" hidden="0" customWidth="1"/>
  </x:cols>
  <x:sheetData>
    <x:row r="1" ht="26" customHeight="1">
      <x:c r="A1" s="6" t="str">
        <x:v>Flood Evidence → Parameter Map</x:v>
      </x:c>
    </x:row>
    <x:row r="2" ht="42" customHeight="1">
      <x:c r="A2" s="14" t="str">
        <x:v>Each source supports a specific rule, parameter, or curve region. Sources are not treated as magic authority.</x:v>
      </x:c>
    </x:row>
    <x:row r="4" ht="15" hidden="0" customHeight="1">
      <x:c r="A4" s="30" t="str">
        <x:v>parameter_id</x:v>
      </x:c>
      <x:c r="B4" s="30" t="str">
        <x:v>parameter_or_rule</x:v>
      </x:c>
      <x:c r="C4" s="30" t="str">
        <x:v>evidence_id</x:v>
      </x:c>
      <x:c r="D4" s="30" t="str">
        <x:v>supports</x:v>
      </x:c>
      <x:c r="E4" s="30" t="str">
        <x:v>evidence_strength</x:v>
      </x:c>
    </x:row>
    <x:row r="5" ht="15" hidden="0" customHeight="1">
      <x:c r="A5" s="31" t="str">
        <x:v>PARAM_X_DEPTH</x:v>
      </x:c>
      <x:c r="B5" s="31" t="str">
        <x:v>local water depth above component datum</x:v>
      </x:c>
      <x:c r="C5" s="31" t="str">
        <x:v>DOE_FEMP_PV_FLOOD; FEMA_P348</x:v>
      </x:c>
      <x:c r="D5" s="31" t="str">
        <x:v>Accepted x-axis for electrical ingress/submersion curves.</x:v>
      </x:c>
      <x:c r="E5" s="31" t="str">
        <x:v>Source-anchored; no numerical curve.</x:v>
      </x:c>
    </x:row>
    <x:row r="6" ht="15" hidden="0" customHeight="1">
      <x:c r="A6" s="31" t="str">
        <x:v>PARAM_TOTAL_SUBMERSION</x:v>
      </x:c>
      <x:c r="B6" s="31" t="str">
        <x:v>submerged components need replacement / likely total loss</x:v>
      </x:c>
      <x:c r="C6" s="31" t="str">
        <x:v>DOE_FEMP_PV_FLOOD; NEMA_GD1_2019</x:v>
      </x:c>
      <x:c r="D6" s="31" t="str">
        <x:v>Justifies steep high-DR behavior once water enters electrical equipment.</x:v>
      </x:c>
      <x:c r="E6" s="31" t="str">
        <x:v>Source-anchored; generic to equipment categories.</x:v>
      </x:c>
    </x:row>
    <x:row r="7" ht="15" hidden="0" customHeight="1">
      <x:c r="A7" s="31" t="str">
        <x:v>PARAM_SWITCHGEAR_REPLACE</x:v>
      </x:c>
      <x:c r="B7" s="31" t="str">
        <x:v>switchgear high DR after water exposure</x:v>
      </x:c>
      <x:c r="C7" s="31" t="str">
        <x:v>NEMA_GD1_2016_PDF; NEMA_GD1_2019</x:v>
      </x:c>
      <x:c r="D7" s="31" t="str">
        <x:v>Sets switchgear curve to near/full replacement after ingress.</x:v>
      </x:c>
      <x:c r="E7" s="31" t="str">
        <x:v>Category-level evidence.</x:v>
      </x:c>
    </x:row>
    <x:row r="8" ht="15" hidden="0" customHeight="1">
      <x:c r="A8" s="31" t="str">
        <x:v>PARAM_INVERTER_POWER_ELEC</x:v>
      </x:c>
      <x:c r="B8" s="31" t="str">
        <x:v>electronics and power devices high DR after water exposure</x:v>
      </x:c>
      <x:c r="C8" s="31" t="str">
        <x:v>NEMA_GD1_2016_PDF; DOE_FEMP_PV_FLOOD</x:v>
      </x:c>
      <x:c r="D8" s="31" t="str">
        <x:v>Sets inverter/SCADA/combiner steep curves.</x:v>
      </x:c>
      <x:c r="E8" s="31" t="str">
        <x:v>Mapped from generic electrical equipment to solar equipment.</x:v>
      </x:c>
    </x:row>
    <x:row r="9" ht="15" hidden="0" customHeight="1">
      <x:c r="A9" s="31" t="str">
        <x:v>PARAM_TRANSFORMER_RECONDITION</x:v>
      </x:c>
      <x:c r="B9" s="31" t="str">
        <x:v>liquid-filled transformers may be evaluated/reconditioned</x:v>
      </x:c>
      <x:c r="C9" s="31" t="str">
        <x:v>NEMA_GD1_2016_PDF; NEMA_GD1_2019</x:v>
      </x:c>
      <x:c r="D9" s="31" t="str">
        <x:v>Sets transformer curve less vertical than switchgear/inverter.</x:v>
      </x:c>
      <x:c r="E9" s="31" t="str">
        <x:v>Transformer type must be captured.</x:v>
      </x:c>
    </x:row>
    <x:row r="10" ht="15" hidden="0" customHeight="1">
      <x:c r="A10" s="31" t="str">
        <x:v>PARAM_ENCLOSURE_SELECTOR</x:v>
      </x:c>
      <x:c r="B10" s="31" t="str">
        <x:v>NEMA 3/4/4X vs 6/6P protection distinction</x:v>
      </x:c>
      <x:c r="C10" s="31" t="str">
        <x:v>NEMA_ENCLOSURE_TYPES</x:v>
      </x:c>
      <x:c r="D10" s="31" t="str">
        <x:v>Controls adjustment rules for submersion-resistant enclosures.</x:v>
      </x:c>
      <x:c r="E10" s="31" t="str">
        <x:v>Rating does not alone determine salvageability.</x:v>
      </x:c>
    </x:row>
    <x:row r="11" ht="15" hidden="0" customHeight="1">
      <x:c r="A11" s="31" t="str">
        <x:v>PARAM_CONDUIT_PATH</x:v>
      </x:c>
      <x:c r="B11" s="31" t="str">
        <x:v>conduit can convey floodwater into inverters/switchgear</x:v>
      </x:c>
      <x:c r="C11" s="31" t="str">
        <x:v>DOE_FEMP_PV_FLOOD</x:v>
      </x:c>
      <x:c r="D11" s="31" t="str">
        <x:v>Open seam / modifier for effective depth even when cabinet is elevated.</x:v>
      </x:c>
      <x:c r="E11" s="31" t="str">
        <x:v>Needs site-specific design geometry.</x:v>
      </x:c>
    </x:row>
    <x:row r="12" ht="15" hidden="0" customHeight="1">
      <x:c r="A12" s="31" t="str">
        <x:v>PARAM_SCOUR</x:v>
      </x:c>
      <x:c r="B12" s="31" t="str">
        <x:v>stormwater management reduces scour/erosion</x:v>
      </x:c>
      <x:c r="C12" s="31" t="str">
        <x:v>DOE_FEMP_PV_FLOOD</x:v>
      </x:c>
      <x:c r="D12" s="31" t="str">
        <x:v>Justifies separate velocity/scour pathway, not depth-only curve.</x:v>
      </x:c>
      <x:c r="E12" s="31" t="str">
        <x:v>Numeric curve remains placeholder.</x:v>
      </x:c>
    </x:row>
    <x:row r="13" ht="15" hidden="0" customHeight="1">
      <x:c r="A13" s="31" t="str">
        <x:v>PARAM_DEPTH_DAMAGE_FORM</x:v>
      </x:c>
      <x:c r="B13" s="31" t="str">
        <x:v>tabular depth-percent damage curve with interpolation</x:v>
      </x:c>
      <x:c r="C13" s="31" t="str">
        <x:v>USACE_HEC_FIA</x:v>
      </x:c>
      <x:c r="D13" s="31" t="str">
        <x:v>Justifies piecewise-linear curve form.</x:v>
      </x:c>
      <x:c r="E13" s="31" t="str">
        <x:v>Generic flood modeling method, not solar-specific values.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fb25764b1ba4c0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6" customHeight="1">
      <x:c r="A1" s="6" t="str">
        <x:v>Flood v1.0 Base Curve Fit</x:v>
      </x:c>
    </x:row>
    <x:row r="2" ht="42" customHeight="1">
      <x:c r="A2" s="14" t="str">
        <x:v>Curve form is piecewise-linear/state-based, because flood electrical damage changes sharply at ingress/submersion thresholds.</x:v>
      </x:c>
    </x:row>
    <x:row r="4" ht="15" hidden="0" customHeight="1">
      <x:c r="A4" s="30" t="str">
        <x:v>failure_unit_id</x:v>
      </x:c>
      <x:c r="B4" s="30" t="str">
        <x:v>curve_name</x:v>
      </x:c>
      <x:c r="C4" s="30" t="str">
        <x:v>source_basis</x:v>
      </x:c>
      <x:c r="D4" s="30" t="str">
        <x:v>curve_form</x:v>
      </x:c>
      <x:c r="E4" s="30" t="str">
        <x:v>0.00m</x:v>
      </x:c>
      <x:c r="F4" s="30" t="str">
        <x:v>0.02m</x:v>
      </x:c>
      <x:c r="G4" s="30" t="str">
        <x:v>0.05m</x:v>
      </x:c>
      <x:c r="H4" s="30" t="str">
        <x:v>0.15m</x:v>
      </x:c>
      <x:c r="I4" s="30" t="str">
        <x:v>0.30m</x:v>
      </x:c>
      <x:c r="J4" s="30" t="str">
        <x:v>0.60m</x:v>
      </x:c>
      <x:c r="K4" s="30" t="str">
        <x:v>1.00m</x:v>
      </x:c>
      <x:c r="L4" s="30" t="str">
        <x:v>1.50m</x:v>
      </x:c>
      <x:c r="M4" s="30" t="str">
        <x:v>2.00m</x:v>
      </x:c>
    </x:row>
    <x:row r="5" ht="15" hidden="0" customHeight="1">
      <x:c r="A5" s="31" t="str">
        <x:v>FS_INV</x:v>
      </x:c>
      <x:c r="B5" s="31" t="str">
        <x:v>inverter cabinet / power electronics inundation</x:v>
      </x:c>
      <x:c r="C5" s="31" t="str">
        <x:v>DOE/NEMA anchored engineering parameterization; not claims-calibrated</x:v>
      </x:c>
      <x:c r="D5" s="31" t="str">
        <x:v>piecewise_linear_state_curve</x:v>
      </x:c>
      <x:c r="E5" s="40" t="n">
        <x:v>0</x:v>
      </x:c>
      <x:c r="F5" s="40" t="n">
        <x:v>0.05</x:v>
      </x:c>
      <x:c r="G5" s="40" t="n">
        <x:v>0.25</x:v>
      </x:c>
      <x:c r="H5" s="40" t="n">
        <x:v>0.75</x:v>
      </x:c>
      <x:c r="I5" s="40" t="n">
        <x:v>0.95</x:v>
      </x:c>
      <x:c r="J5" s="40" t="n">
        <x:v>1</x:v>
      </x:c>
      <x:c r="K5" s="40" t="n">
        <x:v>1</x:v>
      </x:c>
      <x:c r="L5" s="40" t="n">
        <x:v>1</x:v>
      </x:c>
      <x:c r="M5" s="40" t="n">
        <x:v>1</x:v>
      </x:c>
    </x:row>
    <x:row r="6" ht="15" hidden="0" customHeight="1">
      <x:c r="A6" s="31" t="str">
        <x:v>FS_SWG</x:v>
      </x:c>
      <x:c r="B6" s="31" t="str">
        <x:v>switchgear / breaker cabinet inundation</x:v>
      </x:c>
      <x:c r="C6" s="31" t="str">
        <x:v>DOE/NEMA anchored engineering parameterization; not claims-calibrated</x:v>
      </x:c>
      <x:c r="D6" s="31" t="str">
        <x:v>piecewise_linear_state_curve</x:v>
      </x:c>
      <x:c r="E6" s="40" t="n">
        <x:v>0</x:v>
      </x:c>
      <x:c r="F6" s="40" t="n">
        <x:v>0.1</x:v>
      </x:c>
      <x:c r="G6" s="40" t="n">
        <x:v>0.4</x:v>
      </x:c>
      <x:c r="H6" s="40" t="n">
        <x:v>0.85</x:v>
      </x:c>
      <x:c r="I6" s="40" t="n">
        <x:v>1</x:v>
      </x:c>
      <x:c r="J6" s="40" t="n">
        <x:v>1</x:v>
      </x:c>
      <x:c r="K6" s="40" t="n">
        <x:v>1</x:v>
      </x:c>
      <x:c r="L6" s="40" t="n">
        <x:v>1</x:v>
      </x:c>
      <x:c r="M6" s="40" t="n">
        <x:v>1</x:v>
      </x:c>
    </x:row>
    <x:row r="7" ht="15" hidden="0" customHeight="1">
      <x:c r="A7" s="31" t="str">
        <x:v>FS_XFMR</x:v>
      </x:c>
      <x:c r="B7" s="31" t="str">
        <x:v>main transformer/control-area inundation</x:v>
      </x:c>
      <x:c r="C7" s="31" t="str">
        <x:v>DOE/NEMA anchored engineering parameterization; not claims-calibrated</x:v>
      </x:c>
      <x:c r="D7" s="31" t="str">
        <x:v>piecewise_linear_state_curve</x:v>
      </x:c>
      <x:c r="E7" s="40" t="n">
        <x:v>0</x:v>
      </x:c>
      <x:c r="F7" s="40" t="n">
        <x:v>0.03</x:v>
      </x:c>
      <x:c r="G7" s="40" t="n">
        <x:v>0.1</x:v>
      </x:c>
      <x:c r="H7" s="40" t="n">
        <x:v>0.25</x:v>
      </x:c>
      <x:c r="I7" s="40" t="n">
        <x:v>0.45</x:v>
      </x:c>
      <x:c r="J7" s="40" t="n">
        <x:v>0.65</x:v>
      </x:c>
      <x:c r="K7" s="40" t="n">
        <x:v>0.8</x:v>
      </x:c>
      <x:c r="L7" s="40" t="n">
        <x:v>0.95</x:v>
      </x:c>
      <x:c r="M7" s="40" t="n">
        <x:v>1</x:v>
      </x:c>
    </x:row>
    <x:row r="8" ht="15" hidden="0" customHeight="1">
      <x:c r="A8" s="31" t="str">
        <x:v>FS_COMB</x:v>
      </x:c>
      <x:c r="B8" s="31" t="str">
        <x:v>combiner/DC protection enclosure inundation</x:v>
      </x:c>
      <x:c r="C8" s="31" t="str">
        <x:v>DOE/NEMA anchored engineering parameterization; not claims-calibrated</x:v>
      </x:c>
      <x:c r="D8" s="31" t="str">
        <x:v>piecewise_linear_state_curve</x:v>
      </x:c>
      <x:c r="E8" s="40" t="n">
        <x:v>0</x:v>
      </x:c>
      <x:c r="F8" s="40" t="n">
        <x:v>0.1</x:v>
      </x:c>
      <x:c r="G8" s="40" t="n">
        <x:v>0.35</x:v>
      </x:c>
      <x:c r="H8" s="40" t="n">
        <x:v>0.8</x:v>
      </x:c>
      <x:c r="I8" s="40" t="n">
        <x:v>1</x:v>
      </x:c>
      <x:c r="J8" s="40" t="n">
        <x:v>1</x:v>
      </x:c>
      <x:c r="K8" s="40" t="n">
        <x:v>1</x:v>
      </x:c>
      <x:c r="L8" s="40" t="n">
        <x:v>1</x:v>
      </x:c>
      <x:c r="M8" s="40" t="n">
        <x:v>1</x:v>
      </x:c>
    </x:row>
    <x:row r="9" ht="15" hidden="0" customHeight="1">
      <x:c r="A9" s="31" t="str">
        <x:v>FS_SCADA</x:v>
      </x:c>
      <x:c r="B9" s="31" t="str">
        <x:v>SCADA/control cabinet inundation</x:v>
      </x:c>
      <x:c r="C9" s="31" t="str">
        <x:v>DOE/NEMA anchored engineering parameterization; not claims-calibrated</x:v>
      </x:c>
      <x:c r="D9" s="31" t="str">
        <x:v>piecewise_linear_state_curve</x:v>
      </x:c>
      <x:c r="E9" s="40" t="n">
        <x:v>0</x:v>
      </x:c>
      <x:c r="F9" s="40" t="n">
        <x:v>0.15</x:v>
      </x:c>
      <x:c r="G9" s="40" t="n">
        <x:v>0.45</x:v>
      </x:c>
      <x:c r="H9" s="40" t="n">
        <x:v>0.9</x:v>
      </x:c>
      <x:c r="I9" s="40" t="n">
        <x:v>1</x:v>
      </x:c>
      <x:c r="J9" s="40" t="n">
        <x:v>1</x:v>
      </x:c>
      <x:c r="K9" s="40" t="n">
        <x:v>1</x:v>
      </x:c>
      <x:c r="L9" s="40" t="n">
        <x:v>1</x:v>
      </x:c>
      <x:c r="M9" s="40" t="n">
        <x:v>1</x:v>
      </x:c>
    </x:row>
    <x:row r="10" ht="15" hidden="0" customHeight="1">
      <x:c r="A10" s="31" t="str">
        <x:v>FS_CABLE</x:v>
      </x:c>
      <x:c r="B10" s="31" t="str">
        <x:v>collection cable/conduit water path</x:v>
      </x:c>
      <x:c r="C10" s="31" t="str">
        <x:v>DOE/NEMA anchored engineering parameterization; not claims-calibrated</x:v>
      </x:c>
      <x:c r="D10" s="31" t="str">
        <x:v>piecewise_linear_state_curve</x:v>
      </x:c>
      <x:c r="E10" s="40" t="n">
        <x:v>0</x:v>
      </x:c>
      <x:c r="F10" s="40" t="n">
        <x:v>0.02</x:v>
      </x:c>
      <x:c r="G10" s="40" t="n">
        <x:v>0.05</x:v>
      </x:c>
      <x:c r="H10" s="40" t="n">
        <x:v>0.1</x:v>
      </x:c>
      <x:c r="I10" s="40" t="n">
        <x:v>0.15</x:v>
      </x:c>
      <x:c r="J10" s="40" t="n">
        <x:v>0.25</x:v>
      </x:c>
      <x:c r="K10" s="40" t="n">
        <x:v>0.4</x:v>
      </x:c>
      <x:c r="L10" s="40" t="n">
        <x:v>0.55</x:v>
      </x:c>
      <x:c r="M10" s="40" t="n">
        <x:v>0.65</x:v>
      </x:c>
    </x:row>
    <x:row r="11" ht="15" hidden="0" customHeight="1">
      <x:c r="A11" s="31" t="str">
        <x:v>FS_PVMOD</x:v>
      </x:c>
      <x:c r="B11" s="31" t="str">
        <x:v>PV module total submersion/debris pathway</x:v>
      </x:c>
      <x:c r="C11" s="31" t="str">
        <x:v>DOE/NEMA anchored engineering parameterization; not claims-calibrated</x:v>
      </x:c>
      <x:c r="D11" s="31" t="str">
        <x:v>piecewise_linear_state_curve</x:v>
      </x:c>
      <x:c r="E11" s="40" t="n">
        <x:v>0</x:v>
      </x:c>
      <x:c r="F11" s="40" t="n">
        <x:v>0.05</x:v>
      </x:c>
      <x:c r="G11" s="40" t="n">
        <x:v>0.1</x:v>
      </x:c>
      <x:c r="H11" s="40" t="n">
        <x:v>0.3</x:v>
      </x:c>
      <x:c r="I11" s="40" t="n">
        <x:v>0.6</x:v>
      </x:c>
      <x:c r="J11" s="40" t="n">
        <x:v>0.85</x:v>
      </x:c>
      <x:c r="K11" s="40" t="n">
        <x:v>1</x:v>
      </x:c>
      <x:c r="L11" s="40" t="n">
        <x:v>1</x:v>
      </x:c>
      <x:c r="M11" s="40" t="n">
        <x:v>1</x:v>
      </x:c>
    </x:row>
    <x:row r="12">
      <x:c r="E12" s="41"/>
      <x:c r="F12" s="41"/>
      <x:c r="G12" s="41"/>
      <x:c r="H12" s="41"/>
      <x:c r="I12" s="41"/>
      <x:c r="J12" s="41"/>
      <x:c r="K12" s="41"/>
      <x:c r="L12" s="41"/>
      <x:c r="M12" s="41"/>
    </x:row>
    <x:row r="13">
      <x:c r="E13" s="41"/>
      <x:c r="F13" s="41"/>
      <x:c r="G13" s="41"/>
      <x:c r="H13" s="41"/>
      <x:c r="I13" s="41"/>
      <x:c r="J13" s="41"/>
      <x:c r="K13" s="41"/>
      <x:c r="L13" s="41"/>
      <x:c r="M13" s="41"/>
    </x:row>
    <x:row r="18" ht="15" hidden="0" customHeight="1">
      <x:c r="A18" s="30" t="str">
        <x:v>failure_unit_id</x:v>
      </x:c>
      <x:c r="B18" s="30" t="str">
        <x:v>curve_name</x:v>
      </x:c>
      <x:c r="C18" s="30" t="str">
        <x:v>source_basis</x:v>
      </x:c>
      <x:c r="D18" s="30" t="str">
        <x:v>curve_form</x:v>
      </x:c>
      <x:c r="E18" s="30" t="str">
        <x:v>0.0m/s</x:v>
      </x:c>
      <x:c r="F18" s="30" t="str">
        <x:v>0.5m/s</x:v>
      </x:c>
      <x:c r="G18" s="30" t="str">
        <x:v>1.0m/s</x:v>
      </x:c>
      <x:c r="H18" s="30" t="str">
        <x:v>1.5m/s</x:v>
      </x:c>
      <x:c r="I18" s="30" t="str">
        <x:v>2.0m/s</x:v>
      </x:c>
      <x:c r="J18" s="30" t="str">
        <x:v>3.0m/s</x:v>
      </x:c>
      <x:c r="K18" s="30" t="str">
        <x:v>4.0m/s</x:v>
      </x:c>
    </x:row>
    <x:row r="19" ht="15" hidden="0" customHeight="1">
      <x:c r="A19" s="31" t="str">
        <x:v>FS_FOUND</x:v>
      </x:c>
      <x:c r="B19" s="31" t="str">
        <x:v>foundation scour / wet-soil support degradation</x:v>
      </x:c>
      <x:c r="C19" s="31" t="str">
        <x:v>DOE stormwater/scour guidance; placeholder geotech proxy</x:v>
      </x:c>
      <x:c r="D19" s="31" t="str">
        <x:v>piecewise_linear_velocity_proxy</x:v>
      </x:c>
      <x:c r="E19" s="40" t="n">
        <x:v>0</x:v>
      </x:c>
      <x:c r="F19" s="40" t="n">
        <x:v>0</x:v>
      </x:c>
      <x:c r="G19" s="40" t="n">
        <x:v>0.05</x:v>
      </x:c>
      <x:c r="H19" s="40" t="n">
        <x:v>0.15</x:v>
      </x:c>
      <x:c r="I19" s="40" t="n">
        <x:v>0.35</x:v>
      </x:c>
      <x:c r="J19" s="40" t="n">
        <x:v>0.7</x:v>
      </x:c>
      <x:c r="K19" s="40" t="n">
        <x:v>1</x:v>
      </x:c>
    </x:row>
  </x:sheetData>
  <x:mergeCells>
    <x:mergeCell ref="A1:K1"/>
    <x:mergeCell ref="A2:K2"/>
  </x:mergeCells>
  <x:pageMargins left="0.7" right="0.7" top="0.75" bottom="0.75" header="0.3" footer="0.3"/>
  <x:tableParts count="2">
    <x:tablePart xmlns:r="http://schemas.openxmlformats.org/officeDocument/2006/relationships" r:id="Rd012932a09804a8c"/>
    <x:tablePart xmlns:r="http://schemas.openxmlformats.org/officeDocument/2006/relationships" r:id="Rc6d92d6a8d6c4e9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</x:cols>
  <x:sheetData>
    <x:row r="1" ht="26" customHeight="1">
      <x:c r="A1" s="6" t="str">
        <x:v>Curve Form and Adjustment Rules</x:v>
      </x:c>
    </x:row>
    <x:row r="2" ht="42" customHeight="1">
      <x:c r="A2" s="14" t="str">
        <x:v>This sheet explains when a future configuration gets a new curve versus a shift, selector, conditioner, or exposure multiplier.</x:v>
      </x:c>
    </x:row>
    <x:row r="4" ht="15" hidden="0" customHeight="1">
      <x:c r="A4" s="30" t="str">
        <x:v>rule_type</x:v>
      </x:c>
      <x:c r="B4" s="30" t="str">
        <x:v>when_to_use</x:v>
      </x:c>
      <x:c r="C4" s="30" t="str">
        <x:v>flood_solar_example</x:v>
      </x:c>
      <x:c r="D4" s="30" t="str">
        <x:v>why</x:v>
      </x:c>
    </x:row>
    <x:row r="5" ht="15" hidden="0" customHeight="1">
      <x:c r="A5" s="31" t="str">
        <x:v>New curve</x:v>
      </x:c>
      <x:c r="B5" s="31" t="str">
        <x:v>Distinct failure mechanism or replacement logic</x:v>
      </x:c>
      <x:c r="C5" s="31" t="str">
        <x:v>Switchgear vs transformer vs cable</x:v>
      </x:c>
      <x:c r="D5" s="31" t="str">
        <x:v>Different NEMA categories and salvageability; separate curve.</x:v>
      </x:c>
    </x:row>
    <x:row r="6" ht="15" hidden="0" customHeight="1">
      <x:c r="A6" s="31" t="str">
        <x:v>Horizontal shift</x:v>
      </x:c>
      <x:c r="B6" s="31" t="str">
        <x:v>Elevation/freeboard changes exposure threshold</x:v>
      </x:c>
      <x:c r="C6" s="31" t="str">
        <x:v>Raising inverter pads by 0.5m</x:v>
      </x:c>
      <x:c r="D6" s="31" t="str">
        <x:v>Do not alter fragility; local depth becomes smaller.</x:v>
      </x:c>
    </x:row>
    <x:row r="7" ht="15" hidden="0" customHeight="1">
      <x:c r="A7" s="31" t="str">
        <x:v>Curve selector</x:v>
      </x:c>
      <x:c r="B7" s="31" t="str">
        <x:v>Equipment construction changes resistance</x:v>
      </x:c>
      <x:c r="C7" s="31" t="str">
        <x:v>NEMA 6/6P submersible enclosure</x:v>
      </x:c>
      <x:c r="D7" s="31" t="str">
        <x:v>Use different curve/variant only if rating truly supports submersion.</x:v>
      </x:c>
    </x:row>
    <x:row r="8" ht="15" hidden="0" customHeight="1">
      <x:c r="A8" s="31" t="str">
        <x:v>Vertical multiplier</x:v>
      </x:c>
      <x:c r="B8" s="31" t="str">
        <x:v>Partial exposure or value fraction only</x:v>
      </x:c>
      <x:c r="C8" s="31" t="str">
        <x:v>Only 40% of cabinets below waterline</x:v>
      </x:c>
      <x:c r="D8" s="31" t="str">
        <x:v>Scales affected value, not the component-level DR.</x:v>
      </x:c>
    </x:row>
    <x:row r="9" ht="15" hidden="0" customHeight="1">
      <x:c r="A9" s="31" t="str">
        <x:v>Conditioner</x:v>
      </x:c>
      <x:c r="B9" s="31" t="str">
        <x:v>Event-time state changes consequence</x:v>
      </x:c>
      <x:c r="C9" s="31" t="str">
        <x:v>Energized vs safely shut down</x:v>
      </x:c>
      <x:c r="D9" s="31" t="str">
        <x:v>Can increase severity but does not replace depth axis.</x:v>
      </x:c>
    </x:row>
    <x:row r="10" ht="15" hidden="0" customHeight="1">
      <x:c r="A10" s="31" t="str">
        <x:v>Open-seam modifier</x:v>
      </x:c>
      <x:c r="B10" s="31" t="str">
        <x:v>Conduit path moves water to equipment</x:v>
      </x:c>
      <x:c r="C10" s="31" t="str">
        <x:v>Downhill conduit from flooded pull box to inverter</x:v>
      </x:c>
      <x:c r="D10" s="31" t="str">
        <x:v>Captured as metadata; numerical modifier requires site design.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2dd06c958c54e7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26" customHeight="1">
      <x:c r="A1" s="6" t="str">
        <x:v>Flood Variant Catalog</x:v>
      </x:c>
    </x:row>
    <x:row r="2" ht="42" customHeight="1">
      <x:c r="A2" s="14" t="str">
        <x:v>Current v1.0 catalog maps configuration states to curve treatment. Not every variant has a fully independent curve.</x:v>
      </x:c>
    </x:row>
    <x:row r="4" ht="15" hidden="0" customHeight="1">
      <x:c r="A4" s="30" t="str">
        <x:v>variant_id</x:v>
      </x:c>
      <x:c r="B4" s="30" t="str">
        <x:v>configuration</x:v>
      </x:c>
      <x:c r="C4" s="30" t="str">
        <x:v>treatment</x:v>
      </x:c>
      <x:c r="D4" s="30" t="str">
        <x:v>notes</x:v>
      </x:c>
    </x:row>
    <x:row r="5" ht="15" hidden="0" customHeight="1">
      <x:c r="A5" s="31" t="str">
        <x:v>DEFAULT_NON_SUBMERSIBLE_ELECTRICAL</x:v>
      </x:c>
      <x:c r="B5" s="31" t="str">
        <x:v>NEMA 3R/4/4X outdoor cabinets</x:v>
      </x:c>
      <x:c r="C5" s="31" t="str">
        <x:v>Use base depth curves</x:v>
      </x:c>
      <x:c r="D5" s="31" t="str">
        <x:v>Default for inverter/switchgear/combiner/SCADA</x:v>
      </x:c>
    </x:row>
    <x:row r="6" ht="15" hidden="0" customHeight="1">
      <x:c r="A6" s="31" t="str">
        <x:v>SUBMERSIBLE_ENCLOSURE_TYPE_6</x:v>
      </x:c>
      <x:c r="B6" s="31" t="str">
        <x:v>Temporary limited submersion rating</x:v>
      </x:c>
      <x:c r="C6" s="31" t="str">
        <x:v>Use alternate delayed curve if actual equipment rating and installation are confirmed</x:v>
      </x:c>
      <x:c r="D6" s="31" t="str">
        <x:v>Future curve; not default</x:v>
      </x:c>
    </x:row>
    <x:row r="7" ht="15" hidden="0" customHeight="1">
      <x:c r="A7" s="31" t="str">
        <x:v>SUBMERSIBLE_ENCLOSURE_TYPE_6P</x:v>
      </x:c>
      <x:c r="B7" s="31" t="str">
        <x:v>Prolonged limited submersion rating</x:v>
      </x:c>
      <x:c r="C7" s="31" t="str">
        <x:v>Use alternate delayed curve; still inspect/recondition per manufacturer</x:v>
      </x:c>
      <x:c r="D7" s="31" t="str">
        <x:v>Future curve; not default</x:v>
      </x:c>
    </x:row>
    <x:row r="8" ht="15" hidden="0" customHeight="1">
      <x:c r="A8" s="31" t="str">
        <x:v>RAISED_EQUIPMENT</x:v>
      </x:c>
      <x:c r="B8" s="31" t="str">
        <x:v>Pad/freeboard raises z_i_crit</x:v>
      </x:c>
      <x:c r="C8" s="31" t="str">
        <x:v>Horizontal shift through exposure transform, not a new damage curve</x:v>
      </x:c>
      <x:c r="D8" s="31" t="str">
        <x:v>Preferred treatment for elevation/freeboard</x:v>
      </x:c>
    </x:row>
    <x:row r="9" ht="15" hidden="0" customHeight="1">
      <x:c r="A9" s="31" t="str">
        <x:v>CONDUIT_WATER_PATH_PRESENT</x:v>
      </x:c>
      <x:c r="B9" s="31" t="str">
        <x:v>Flooded pullbox/conduit drains into equipment</x:v>
      </x:c>
      <x:c r="C9" s="31" t="str">
        <x:v>Modifier/open seam; can trigger effective local depth despite elevated cabinet</x:v>
      </x:c>
      <x:c r="D9" s="31" t="str">
        <x:v>Site-specific design required</x:v>
      </x:c>
    </x:row>
    <x:row r="10" ht="15" hidden="0" customHeight="1">
      <x:c r="A10" s="31" t="str">
        <x:v>ENERGIZED_DURING_INUNDATION</x:v>
      </x:c>
      <x:c r="B10" s="31" t="str">
        <x:v>Equipment live when wet</x:v>
      </x:c>
      <x:c r="C10" s="31" t="str">
        <x:v>Conditioner; may increase DR/severity and safety hazards</x:v>
      </x:c>
      <x:c r="D10" s="31" t="str">
        <x:v>Not a primary x-axis in v1.0</x:v>
      </x:c>
    </x:row>
    <x:row r="11" ht="15" hidden="0" customHeight="1">
      <x:c r="A11" s="31" t="str">
        <x:v>LIQUID_FILLED_TRANSFORMER</x:v>
      </x:c>
      <x:c r="B11" s="31" t="str">
        <x:v>Oil-filled transformer</x:v>
      </x:c>
      <x:c r="C11" s="31" t="str">
        <x:v>Use transformer default curve</x:v>
      </x:c>
      <x:c r="D11" s="31" t="str">
        <x:v>NEMA allows evaluation/analysis; not always immediate full replacement</x:v>
      </x:c>
    </x:row>
    <x:row r="12" ht="15" hidden="0" customHeight="1">
      <x:c r="A12" s="31" t="str">
        <x:v>DRY_TYPE_TRANSFORMER</x:v>
      </x:c>
      <x:c r="B12" s="31" t="str">
        <x:v>Dry-type transformer</x:v>
      </x:c>
      <x:c r="C12" s="31" t="str">
        <x:v>Use high-replacement variant / closer to switchgear curve</x:v>
      </x:c>
      <x:c r="D12" s="31" t="str">
        <x:v>Future variant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9ac9572f4ae463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6" customHeight="1">
      <x:c r="A1" s="6" t="str">
        <x:v>Flood Assumption Register</x:v>
      </x:c>
    </x:row>
    <x:row r="2" ht="42" customHeight="1">
      <x:c r="A2" s="14" t="str">
        <x:v>Load-bearing assumptions, confidence, and replacement triggers.</x:v>
      </x:c>
    </x:row>
    <x:row r="4" ht="15" hidden="0" customHeight="1">
      <x:c r="A4" s="30" t="str">
        <x:v>assumption_id</x:v>
      </x:c>
      <x:c r="B4" s="30" t="str">
        <x:v>assumption</x:v>
      </x:c>
      <x:c r="C4" s="30" t="str">
        <x:v>materiality</x:v>
      </x:c>
      <x:c r="D4" s="30" t="str">
        <x:v>replacement_trigger</x:v>
      </x:c>
      <x:c r="E4" s="30" t="str">
        <x:v>status</x:v>
      </x:c>
    </x:row>
    <x:row r="5" ht="15" hidden="0" customHeight="1">
      <x:c r="A5" s="31" t="str">
        <x:v>A1</x:v>
      </x:c>
      <x:c r="B5" s="31" t="str">
        <x:v>Default curve values are source-anchored engineering parameters, not empirical loss data.</x:v>
      </x:c>
      <x:c r="C5" s="31" t="str">
        <x:v>High</x:v>
      </x:c>
      <x:c r="D5" s="31" t="str">
        <x:v>Replace with claims/forensic data when available.</x:v>
      </x:c>
      <x:c r="E5" s="31" t="str">
        <x:v>Open</x:v>
      </x:c>
    </x:row>
    <x:row r="6" ht="15" hidden="0" customHeight="1">
      <x:c r="A6" s="31" t="str">
        <x:v>A2</x:v>
      </x:c>
      <x:c r="B6" s="31" t="str">
        <x:v>Default electrical equipment is non-submersible NEMA 3R/4/4X class unless explicitly specified as Type 6/6P or equivalent.</x:v>
      </x:c>
      <x:c r="C6" s="31" t="str">
        <x:v>Medium</x:v>
      </x:c>
      <x:c r="D6" s="31" t="str">
        <x:v>Override with asset-specific enclosure rating.</x:v>
      </x:c>
      <x:c r="E6" s="31" t="str">
        <x:v>Open</x:v>
      </x:c>
    </x:row>
    <x:row r="7" ht="15" hidden="0" customHeight="1">
      <x:c r="A7" s="31" t="str">
        <x:v>A3</x:v>
      </x:c>
      <x:c r="B7" s="31" t="str">
        <x:v>Local depth above vulnerable datum is the correct x-axis for electrical equipment.</x:v>
      </x:c>
      <x:c r="C7" s="31" t="str">
        <x:v>High</x:v>
      </x:c>
      <x:c r="D7" s="31" t="str">
        <x:v>Override only if evidence shows duration or contamination dominates for a given unit.</x:v>
      </x:c>
      <x:c r="E7" s="31" t="str">
        <x:v>Accepted</x:v>
      </x:c>
    </x:row>
    <x:row r="8" ht="15" hidden="0" customHeight="1">
      <x:c r="A8" s="31" t="str">
        <x:v>A4</x:v>
      </x:c>
      <x:c r="B8" s="31" t="str">
        <x:v>Transformer default is liquid-filled with possible evaluation/reconditioning, not automatic full replacement at first wet contact.</x:v>
      </x:c>
      <x:c r="C8" s="31" t="str">
        <x:v>Medium</x:v>
      </x:c>
      <x:c r="D8" s="31" t="str">
        <x:v>Use dry-type transformer variant if applicable.</x:v>
      </x:c>
      <x:c r="E8" s="31" t="str">
        <x:v>Open</x:v>
      </x:c>
    </x:row>
    <x:row r="9" ht="15" hidden="0" customHeight="1">
      <x:c r="A9" s="31" t="str">
        <x:v>A5</x:v>
      </x:c>
      <x:c r="B9" s="31" t="str">
        <x:v>PV modules are secondary for flood unless the water reaches module lower edge or debris impact is modeled.</x:v>
      </x:c>
      <x:c r="C9" s="31" t="str">
        <x:v>Medium</x:v>
      </x:c>
      <x:c r="D9" s="31" t="str">
        <x:v>Override for low-clearance canopy/ground arrays.</x:v>
      </x:c>
      <x:c r="E9" s="31" t="str">
        <x:v>Accepted</x:v>
      </x:c>
    </x:row>
    <x:row r="10" ht="15" hidden="0" customHeight="1">
      <x:c r="A10" s="31" t="str">
        <x:v>A6</x:v>
      </x:c>
      <x:c r="B10" s="31" t="str">
        <x:v>Velocity/scour curve is a placeholder because site-specific geotech/hydraulic design controls the outcome.</x:v>
      </x:c>
      <x:c r="C10" s="31" t="str">
        <x:v>High</x:v>
      </x:c>
      <x:c r="D10" s="31" t="str">
        <x:v>Replace with engineering scour model where available.</x:v>
      </x:c>
      <x:c r="E10" s="31" t="str">
        <x:v>Open</x:v>
      </x:c>
    </x:row>
    <x:row r="11" ht="15" hidden="0" customHeight="1">
      <x:c r="A11" s="31" t="str">
        <x:v>A7</x:v>
      </x:c>
      <x:c r="B11" s="31" t="str">
        <x:v>The dashboard dollar loss is illustrative; damage code emits DR by failure-unit and does not own EAL/tail metrics.</x:v>
      </x:c>
      <x:c r="C11" s="31" t="str">
        <x:v>High</x:v>
      </x:c>
      <x:c r="D11" s="31" t="str">
        <x:v>Downstream hazard catalog/financial engine handles metrics.</x:v>
      </x:c>
      <x:c r="E11" s="31" t="str">
        <x:v>Accepted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84aa02f094c4ac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26" customHeight="1">
      <x:c r="A1" s="6" t="str">
        <x:v>Flood × Solar Damage-Code Interface</x:v>
      </x:c>
    </x:row>
    <x:row r="2" ht="42" customHeight="1">
      <x:c r="A2" s="14" t="str">
        <x:v>Fields a downstream hazard/financial engine should pass into the damage code and fields the damage code should emit.</x:v>
      </x:c>
    </x:row>
    <x:row r="4" ht="15" hidden="0" customHeight="1">
      <x:c r="A4" s="30" t="str">
        <x:v>category</x:v>
      </x:c>
      <x:c r="B4" s="30" t="str">
        <x:v>field</x:v>
      </x:c>
      <x:c r="C4" s="30" t="str">
        <x:v>requiredness</x:v>
      </x:c>
      <x:c r="D4" s="30" t="str">
        <x:v>description</x:v>
      </x:c>
    </x:row>
    <x:row r="5" ht="15" hidden="0" customHeight="1">
      <x:c r="A5" s="31" t="str">
        <x:v>hazard_input</x:v>
      </x:c>
      <x:c r="B5" s="31" t="str">
        <x:v>water_surface_elevation_m_or_site_depth_m</x:v>
      </x:c>
      <x:c r="C5" s="31" t="str">
        <x:v>required</x:v>
      </x:c>
      <x:c r="D5" s="31" t="str">
        <x:v>Used to compute local depth above each component datum.</x:v>
      </x:c>
    </x:row>
    <x:row r="6" ht="15" hidden="0" customHeight="1">
      <x:c r="A6" s="31" t="str">
        <x:v>hazard_input</x:v>
      </x:c>
      <x:c r="B6" s="31" t="str">
        <x:v>flow_velocity_mps_or_scour_proxy</x:v>
      </x:c>
      <x:c r="C6" s="31" t="str">
        <x:v>conditional</x:v>
      </x:c>
      <x:c r="D6" s="31" t="str">
        <x:v>Used for foundation/civil scour pathway.</x:v>
      </x:c>
    </x:row>
    <x:row r="7" ht="15" hidden="0" customHeight="1">
      <x:c r="A7" s="31" t="str">
        <x:v>exposure_geometry</x:v>
      </x:c>
      <x:c r="B7" s="31" t="str">
        <x:v>component_critical_elevation_m</x:v>
      </x:c>
      <x:c r="C7" s="31" t="str">
        <x:v>required for each electrical failure-unit</x:v>
      </x:c>
      <x:c r="D7" s="31" t="str">
        <x:v>z_i_crit; drives h_i = max(0, WSE - z_i_crit).</x:v>
      </x:c>
    </x:row>
    <x:row r="8" ht="15" hidden="0" customHeight="1">
      <x:c r="A8" s="31" t="str">
        <x:v>selector</x:v>
      </x:c>
      <x:c r="B8" s="31" t="str">
        <x:v>enclosure_rating</x:v>
      </x:c>
      <x:c r="C8" s="31" t="str">
        <x:v>recommended</x:v>
      </x:c>
      <x:c r="D8" s="31" t="str">
        <x:v>NEMA/IP rating: rain/hosedown vs temporary/prolonged submersion.</x:v>
      </x:c>
    </x:row>
    <x:row r="9" ht="15" hidden="0" customHeight="1">
      <x:c r="A9" s="31" t="str">
        <x:v>selector</x:v>
      </x:c>
      <x:c r="B9" s="31" t="str">
        <x:v>transformer_type</x:v>
      </x:c>
      <x:c r="C9" s="31" t="str">
        <x:v>recommended</x:v>
      </x:c>
      <x:c r="D9" s="31" t="str">
        <x:v>liquid-filled vs dry-type/cast-resin.</x:v>
      </x:c>
    </x:row>
    <x:row r="10" ht="15" hidden="0" customHeight="1">
      <x:c r="A10" s="31" t="str">
        <x:v>conditioner</x:v>
      </x:c>
      <x:c r="B10" s="31" t="str">
        <x:v>energized_state</x:v>
      </x:c>
      <x:c r="C10" s="31" t="str">
        <x:v>optional/recommended</x:v>
      </x:c>
      <x:c r="D10" s="31" t="str">
        <x:v>energized, de-energized, safely isolated, unknown.</x:v>
      </x:c>
    </x:row>
    <x:row r="11" ht="15" hidden="0" customHeight="1">
      <x:c r="A11" s="31" t="str">
        <x:v>conditioner</x:v>
      </x:c>
      <x:c r="B11" s="31" t="str">
        <x:v>conduit_water_path_present</x:v>
      </x:c>
      <x:c r="C11" s="31" t="str">
        <x:v>optional/recommended</x:v>
      </x:c>
      <x:c r="D11" s="31" t="str">
        <x:v>Whether floodwater can travel via conduit/pull boxes into equipment.</x:v>
      </x:c>
    </x:row>
    <x:row r="12" ht="15" hidden="0" customHeight="1">
      <x:c r="A12" s="31" t="str">
        <x:v>conditioner</x:v>
      </x:c>
      <x:c r="B12" s="31" t="str">
        <x:v>shutdown_before_flood</x:v>
      </x:c>
      <x:c r="C12" s="31" t="str">
        <x:v>optional</x:v>
      </x:c>
      <x:c r="D12" s="31" t="str">
        <x:v>Operational state; affects safety and reconditioning possibility.</x:v>
      </x:c>
    </x:row>
    <x:row r="13" ht="15" hidden="0" customHeight="1">
      <x:c r="A13" s="31" t="str">
        <x:v>exposure_multiplier</x:v>
      </x:c>
      <x:c r="B13" s="31" t="str">
        <x:v>fraction_of_component_value_exposed</x:v>
      </x:c>
      <x:c r="C13" s="31" t="str">
        <x:v>optional</x:v>
      </x:c>
      <x:c r="D13" s="31" t="str">
        <x:v>For partial equipment exposure or multi-unit fleets.</x:v>
      </x:c>
    </x:row>
    <x:row r="14" ht="15" hidden="0" customHeight="1">
      <x:c r="A14" s="31" t="str">
        <x:v>output</x:v>
      </x:c>
      <x:c r="B14" s="31" t="str">
        <x:v>failure_unit_damage_ratio</x:v>
      </x:c>
      <x:c r="C14" s="31" t="str">
        <x:v>required</x:v>
      </x:c>
      <x:c r="D14" s="31" t="str">
        <x:v>DR for each failure-unit; downstream system applies value and financial metrics.</x:v>
      </x:c>
    </x:row>
    <x:row r="15" ht="15" hidden="0" customHeight="1">
      <x:c r="A15" s="31" t="str">
        <x:v>output</x:v>
      </x:c>
      <x:c r="B15" s="31" t="str">
        <x:v>metadata_flags</x:v>
      </x:c>
      <x:c r="C15" s="31" t="str">
        <x:v>required</x:v>
      </x:c>
      <x:c r="D15" s="31" t="str">
        <x:v>open seams, source level, adjustment type, curve version.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2b56ba3cb0d4a5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3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</x:cols>
  <x:sheetData>
    <x:row r="1" ht="26" customHeight="1">
      <x:c r="A1" s="6" t="str">
        <x:v>Value Link — Flood × Solar</x:v>
      </x:c>
      <x:c r="E1" s="44"/>
      <x:c r="F1" s="46"/>
      <x:c r="G1" s="46"/>
      <x:c r="J1" s="44"/>
    </x:row>
    <x:row r="2" ht="42" customHeight="1">
      <x:c r="A2" s="14" t="str">
        <x:v>Maps each failure-unit record to the valuation/substrate bucket. Loss calculations should keep basis explicit.</x:v>
      </x:c>
    </x:row>
    <x:row r="4" ht="15" hidden="0" customHeight="1">
      <x:c r="A4" s="30" t="str">
        <x:v>value_id</x:v>
      </x:c>
      <x:c r="B4" s="30" t="str">
        <x:v>failure_unit</x:v>
      </x:c>
      <x:c r="C4" s="30" t="str">
        <x:v>subsystem</x:v>
      </x:c>
      <x:c r="D4" s="30" t="str">
        <x:v>component</x:v>
      </x:c>
      <x:c r="E4" s="30" t="str">
        <x:v>physical_value_usd</x:v>
      </x:c>
      <x:c r="F4" s="30" t="str">
        <x:v>physical_share</x:v>
      </x:c>
      <x:c r="G4" s="30" t="str">
        <x:v>installed_share</x:v>
      </x:c>
      <x:c r="H4" s="30" t="str">
        <x:v>role</x:v>
      </x:c>
      <x:c r="I4" s="30" t="str">
        <x:v>f_kind</x:v>
      </x:c>
      <x:c r="J4" s="30" t="str">
        <x:v>cap_L_usd</x:v>
      </x:c>
      <x:c r="K4" s="30" t="str">
        <x:v>notes</x:v>
      </x:c>
    </x:row>
    <x:row r="5" ht="15" hidden="0" customHeight="1">
      <x:c r="A5" s="31" t="str">
        <x:v>FS_INV</x:v>
      </x:c>
      <x:c r="B5" s="31" t="str">
        <x:v>inverter cabinet / power electronics inundation</x:v>
      </x:c>
      <x:c r="C5" s="31" t="str">
        <x:v>INVERTER_SYSTEM</x:v>
      </x:c>
      <x:c r="D5" s="31" t="str">
        <x:v>INVERTER</x:v>
      </x:c>
      <x:c r="E5" s="31" t="n">
        <x:v>3230636.6410372383</x:v>
      </x:c>
      <x:c r="F5" s="31" t="n">
        <x:v>0.03680396967473965</x:v>
      </x:c>
      <x:c r="G5" s="31" t="n">
        <x:v>0.02884497000926106</x:v>
      </x:c>
      <x:c r="H5" s="31" t="str">
        <x:v>primary</x:v>
      </x:c>
      <x:c r="I5" s="31" t="str">
        <x:v>geometry/elevation</x:v>
      </x:c>
      <x:c r="J5" s="31" t="n">
        <x:v>3230636.6410372383</x:v>
      </x:c>
      <x:c r="K5" s="31" t="str">
        <x:v>Central inverter hardware only; replacement fieldwork not allocated here.</x:v>
      </x:c>
    </x:row>
    <x:row r="6" ht="15" hidden="0" customHeight="1">
      <x:c r="A6" s="31" t="str">
        <x:v>FS_SWG</x:v>
      </x:c>
      <x:c r="B6" s="31" t="str">
        <x:v>switchgear / breaker cabinet inundation</x:v>
      </x:c>
      <x:c r="C6" s="31" t="str">
        <x:v>SUBSTATION</x:v>
      </x:c>
      <x:c r="D6" s="31" t="str">
        <x:v>SWITCHGEAR</x:v>
      </x:c>
      <x:c r="E6" s="31" t="n">
        <x:v>6838526.119402986</x:v>
      </x:c>
      <x:c r="F6" s="31" t="n">
        <x:v>0.07790566872219211</x:v>
      </x:c>
      <x:c r="G6" s="31" t="n">
        <x:v>0.06105826892324095</x:v>
      </x:c>
      <x:c r="H6" s="31" t="str">
        <x:v>primary</x:v>
      </x:c>
      <x:c r="I6" s="31" t="str">
        <x:v>geometry/elevation</x:v>
      </x:c>
      <x:c r="J6" s="31" t="n">
        <x:v>6838526.119402986</x:v>
      </x:c>
      <x:c r="K6" s="31" t="str">
        <x:v>Switches + breakers + substation rollup mapped to switchgear/control cabinets.</x:v>
      </x:c>
    </x:row>
    <x:row r="7" ht="15" hidden="0" customHeight="1">
      <x:c r="A7" s="31" t="str">
        <x:v>FS_XFMR</x:v>
      </x:c>
      <x:c r="B7" s="31" t="str">
        <x:v>main transformer/control-area inundation</x:v>
      </x:c>
      <x:c r="C7" s="31" t="str">
        <x:v>SUBSTATION</x:v>
      </x:c>
      <x:c r="D7" s="31" t="str">
        <x:v>TRANSFORMER_MAIN</x:v>
      </x:c>
      <x:c r="E7" s="31" t="n">
        <x:v>3811940.298507462</x:v>
      </x:c>
      <x:c r="F7" s="31" t="n">
        <x:v>0.043426281175076145</x:v>
      </x:c>
      <x:c r="G7" s="31" t="n">
        <x:v>0.03403518123667377</x:v>
      </x:c>
      <x:c r="H7" s="31" t="str">
        <x:v>primary</x:v>
      </x:c>
      <x:c r="I7" s="31" t="str">
        <x:v>geometry/elevation</x:v>
      </x:c>
      <x:c r="J7" s="31" t="n">
        <x:v>3811940.298507462</x:v>
      </x:c>
      <x:c r="K7" s="31" t="str">
        <x:v>Transformer hardware; liquid-filled units may be evaluated/reconditioned, not always full replacement.</x:v>
      </x:c>
    </x:row>
    <x:row r="8" ht="15" hidden="0" customHeight="1">
      <x:c r="A8" s="31" t="str">
        <x:v>FS_COMB</x:v>
      </x:c>
      <x:c r="B8" s="31" t="str">
        <x:v>combiner/DC protection enclosure inundation</x:v>
      </x:c>
      <x:c r="C8" s="31" t="str">
        <x:v>INVERTER_SYSTEM</x:v>
      </x:c>
      <x:c r="D8" s="31" t="str">
        <x:v>COMBINER_BOX + DC_PROTECTION</x:v>
      </x:c>
      <x:c r="E8" s="31" t="n">
        <x:v>682625</x:v>
      </x:c>
      <x:c r="F8" s="31" t="n">
        <x:v>0.007776581705317682</x:v>
      </x:c>
      <x:c r="G8" s="31" t="n">
        <x:v>0.006094866071428572</x:v>
      </x:c>
      <x:c r="H8" s="31" t="str">
        <x:v>primary/secondary</x:v>
      </x:c>
      <x:c r="I8" s="31" t="str">
        <x:v>geometry/elevation</x:v>
      </x:c>
      <x:c r="J8" s="31" t="n">
        <x:v>682625</x:v>
      </x:c>
      <x:c r="K8" s="31" t="str">
        <x:v>Combiner boxes; DC protection skeleton included by substrate but value not separately sourced.</x:v>
      </x:c>
    </x:row>
    <x:row r="9" ht="15" hidden="0" customHeight="1">
      <x:c r="A9" s="31" t="str">
        <x:v>FS_SCADA</x:v>
      </x:c>
      <x:c r="B9" s="31" t="str">
        <x:v>SCADA/control cabinet inundation</x:v>
      </x:c>
      <x:c r="C9" s="31" t="str">
        <x:v>SCADA</x:v>
      </x:c>
      <x:c r="D9" s="31" t="str">
        <x:v>MONITORING_SYSTEM</x:v>
      </x:c>
      <x:c r="E9" s="31" t="n">
        <x:v>131000</x:v>
      </x:c>
      <x:c r="F9" s="31" t="n">
        <x:v>0.0014923745883854479</x:v>
      </x:c>
      <x:c r="G9" s="31" t="n">
        <x:v>0.0011696428571428574</x:v>
      </x:c>
      <x:c r="H9" s="31" t="str">
        <x:v>secondary</x:v>
      </x:c>
      <x:c r="I9" s="31" t="str">
        <x:v>geometry/elevation</x:v>
      </x:c>
      <x:c r="J9" s="31" t="n">
        <x:v>131000</x:v>
      </x:c>
      <x:c r="K9" s="31" t="str">
        <x:v>Monitoring system hardware only; low materiality but high operational importance.</x:v>
      </x:c>
    </x:row>
    <x:row r="10" ht="15" hidden="0" customHeight="1">
      <x:c r="A10" s="31" t="str">
        <x:v>FS_CABLE</x:v>
      </x:c>
      <x:c r="B10" s="31" t="str">
        <x:v>collection cable/conduit water path</x:v>
      </x:c>
      <x:c r="C10" s="31" t="str">
        <x:v>ELECTRICAL_COLLECTION</x:v>
      </x:c>
      <x:c r="D10" s="31" t="str">
        <x:v>CABLE_AC + CABLE_DC</x:v>
      </x:c>
      <x:c r="E10" s="31" t="n">
        <x:v>6932011.19402985</x:v>
      </x:c>
      <x:c r="F10" s="31" t="n">
        <x:v>0.07897066681201233</x:v>
      </x:c>
      <x:c r="G10" s="31" t="n">
        <x:v>0.06189295708955223</x:v>
      </x:c>
      <x:c r="H10" s="31" t="str">
        <x:v>conditional/secondary</x:v>
      </x:c>
      <x:c r="I10" s="31" t="str">
        <x:v>geometry/pathway</x:v>
      </x:c>
      <x:c r="J10" s="31" t="n">
        <x:v>6932011.19402985</x:v>
      </x:c>
      <x:c r="K10" s="31" t="str">
        <x:v>Cable/conductor hardware; water damage depends heavily on wet-location listing, terminations, and conduit path.</x:v>
      </x:c>
    </x:row>
    <x:row r="11" ht="15" hidden="0" customHeight="1">
      <x:c r="A11" s="31" t="str">
        <x:v>FS_FOUND</x:v>
      </x:c>
      <x:c r="B11" s="31" t="str">
        <x:v>foundation/pile scour or wet-soil support degradation</x:v>
      </x:c>
      <x:c r="C11" s="31" t="str">
        <x:v>FOUNDATION</x:v>
      </x:c>
      <x:c r="D11" s="31" t="str">
        <x:v>FOUNDATION_BASE</x:v>
      </x:c>
      <x:c r="E11" s="31" t="n">
        <x:v>3112448.7153274724</x:v>
      </x:c>
      <x:c r="F11" s="31" t="n">
        <x:v>0.03545755244585994</x:v>
      </x:c>
      <x:c r="G11" s="31" t="n">
        <x:v>0.02778972067256672</x:v>
      </x:c>
      <x:c r="H11" s="31" t="str">
        <x:v>conditional/secondary</x:v>
      </x:c>
      <x:c r="I11" s="31" t="str">
        <x:v>velocity/scour</x:v>
      </x:c>
      <x:c r="J11" s="31" t="n">
        <x:v>3112448.7153274724</x:v>
      </x:c>
      <x:c r="K11" s="31" t="str">
        <x:v>Velocity/scour pathway; do not use simple depth curve.</x:v>
      </x:c>
    </x:row>
    <x:row r="12" ht="15" hidden="0" customHeight="1">
      <x:c r="A12" s="31" t="str">
        <x:v>FS_PVMOD</x:v>
      </x:c>
      <x:c r="B12" s="31" t="str">
        <x:v>PV module total submersion/debris pathway</x:v>
      </x:c>
      <x:c r="C12" s="31" t="str">
        <x:v>PV_ARRAY</x:v>
      </x:c>
      <x:c r="D12" s="31" t="str">
        <x:v>PV_MODULE</x:v>
      </x:c>
      <x:c r="E12" s="31" t="n">
        <x:v>29121485.143992487</x:v>
      </x:c>
      <x:c r="F12" s="31" t="n">
        <x:v>0.3317569801903719</x:v>
      </x:c>
      <x:c r="G12" s="31" t="n">
        <x:v>0.26001326021421867</x:v>
      </x:c>
      <x:c r="H12" s="31" t="str">
        <x:v>conditional/secondary</x:v>
      </x:c>
      <x:c r="I12" s="31" t="str">
        <x:v>geometry/elevation</x:v>
      </x:c>
      <x:c r="J12" s="31" t="n">
        <x:v>29121485.143992487</x:v>
      </x:c>
      <x:c r="K12" s="31" t="str">
        <x:v>Not primary flood pathway for elevated utility arrays; included for low-clearance/submersion cases.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f630e94ca4c495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48" hidden="0" customWidth="1"/>
  </x:cols>
  <x:sheetData>
    <x:row r="1" ht="26" customHeight="1">
      <x:c r="A1" s="6" t="str">
        <x:v>Site Inputs — Illustrative Default Asset</x:v>
      </x:c>
      <x:c r="B1" s="50"/>
      <x:c r="C1" s="46"/>
    </x:row>
    <x:row r="2" ht="42" customHeight="1">
      <x:c r="A2" s="14" t="str">
        <x:v>Editable/default inputs used by the dashboard. The damage-code curve itself does not require EAL or financial metrics.</x:v>
      </x:c>
    </x:row>
    <x:row r="4" ht="15" hidden="0" customHeight="1">
      <x:c r="A4" s="30" t="str">
        <x:v>input</x:v>
      </x:c>
      <x:c r="B4" s="30" t="str">
        <x:v>value</x:v>
      </x:c>
      <x:c r="C4" s="30" t="str">
        <x:v>unit/notes</x:v>
      </x:c>
    </x:row>
    <x:row r="5" ht="15" hidden="0" customHeight="1">
      <x:c r="A5" s="31" t="str">
        <x:v>asset_size_mwdc</x:v>
      </x:c>
      <x:c r="B5" s="48" t="n">
        <x:v>100</x:v>
      </x:c>
      <x:c r="C5" s="31" t="str">
        <x:v>MWdc</x:v>
      </x:c>
    </x:row>
    <x:row r="6" ht="15" hidden="0" customHeight="1">
      <x:c r="A6" s="31" t="str">
        <x:v>installed_tiv_usd</x:v>
      </x:c>
      <x:c r="B6" s="48" t="n">
        <x:v>112000000</x:v>
      </x:c>
      <x:c r="C6" s="31" t="str">
        <x:v>$</x:v>
      </x:c>
    </x:row>
    <x:row r="7" ht="15" hidden="0" customHeight="1">
      <x:c r="A7" s="31" t="str">
        <x:v>physical_base_usd</x:v>
      </x:c>
      <x:c r="B7" s="31" t="n">
        <x:v>87779570.23626667</x:v>
      </x:c>
      <x:c r="C7" s="31" t="str">
        <x:v>$</x:v>
      </x:c>
    </x:row>
    <x:row r="8" ht="15" hidden="0" customHeight="1">
      <x:c r="A8" s="31" t="str">
        <x:v>site_flood_depth_m_default</x:v>
      </x:c>
      <x:c r="B8" s="31" t="n">
        <x:v>1</x:v>
      </x:c>
      <x:c r="C8" s="31" t="str">
        <x:v>m above local grade</x:v>
      </x:c>
    </x:row>
    <x:row r="9" ht="15" hidden="0" customHeight="1">
      <x:c r="A9" s="31" t="str">
        <x:v>flow_velocity_mps_default</x:v>
      </x:c>
      <x:c r="B9" s="31" t="n">
        <x:v>1</x:v>
      </x:c>
      <x:c r="C9" s="31" t="str">
        <x:v>m/s</x:v>
      </x:c>
    </x:row>
    <x:row r="12" ht="15" hidden="0" customHeight="1">
      <x:c r="A12" s="30" t="str">
        <x:v>value_id</x:v>
      </x:c>
      <x:c r="B12" s="30" t="str">
        <x:v>critical_elevation_m</x:v>
      </x:c>
      <x:c r="C12" s="30" t="str">
        <x:v>exposure_fraction</x:v>
      </x:c>
      <x:c r="D12" s="30" t="str">
        <x:v>default_selector</x:v>
      </x:c>
      <x:c r="E12" s="30" t="str">
        <x:v>default_conditioner</x:v>
      </x:c>
      <x:c r="F12" s="30" t="str">
        <x:v>notes</x:v>
      </x:c>
    </x:row>
    <x:row r="13" ht="15" hidden="0" customHeight="1">
      <x:c r="A13" s="31" t="str">
        <x:v>FS_INV</x:v>
      </x:c>
      <x:c r="B13" s="31" t="n">
        <x:v>0.35</x:v>
      </x:c>
      <x:c r="C13" s="31" t="n">
        <x:v>1</x:v>
      </x:c>
      <x:c r="D13" s="31" t="str">
        <x:v>NEMA 3R/4/4X non-submersible outdoor cabinet</x:v>
      </x:c>
      <x:c r="E13" s="31" t="str">
        <x:v>de-energized or unknown; conduit path open seam</x:v>
      </x:c>
      <x:c r="F13" s="31" t="str">
        <x:v>Critical datum: vulnerable cabinet entry / lower enclosure / conduit ingress elevation.</x:v>
      </x:c>
    </x:row>
    <x:row r="14" ht="15" hidden="0" customHeight="1">
      <x:c r="A14" s="31" t="str">
        <x:v>FS_SWG</x:v>
      </x:c>
      <x:c r="B14" s="31" t="n">
        <x:v>0.4</x:v>
      </x:c>
      <x:c r="C14" s="31" t="n">
        <x:v>1</x:v>
      </x:c>
      <x:c r="D14" s="31" t="str">
        <x:v>NEMA 3R/4/4X non-submersible switchgear</x:v>
      </x:c>
      <x:c r="E14" s="31" t="str">
        <x:v>de-energized or unknown</x:v>
      </x:c>
      <x:c r="F14" s="31" t="str">
        <x:v>Switchgear cabinets are replacement-prone once water enters protective/control compartments.</x:v>
      </x:c>
    </x:row>
    <x:row r="15" ht="15" hidden="0" customHeight="1">
      <x:c r="A15" s="31" t="str">
        <x:v>FS_XFMR</x:v>
      </x:c>
      <x:c r="B15" s="31" t="n">
        <x:v>0.45</x:v>
      </x:c>
      <x:c r="C15" s="31" t="n">
        <x:v>1</x:v>
      </x:c>
      <x:c r="D15" s="31" t="str">
        <x:v>liquid-filled transformer default</x:v>
      </x:c>
      <x:c r="E15" s="31" t="str">
        <x:v>de-energized or unknown</x:v>
      </x:c>
      <x:c r="F15" s="31" t="str">
        <x:v>Critical datum approximates controls/terminal box/auxiliary components, not oil tank bottom.</x:v>
      </x:c>
    </x:row>
    <x:row r="16" ht="15" hidden="0" customHeight="1">
      <x:c r="A16" s="31" t="str">
        <x:v>FS_COMB</x:v>
      </x:c>
      <x:c r="B16" s="31" t="n">
        <x:v>0.8</x:v>
      </x:c>
      <x:c r="C16" s="31" t="n">
        <x:v>1</x:v>
      </x:c>
      <x:c r="D16" s="31" t="str">
        <x:v>outdoor combiner enclosure, non-submersible</x:v>
      </x:c>
      <x:c r="E16" s="31" t="str">
        <x:v>unknown</x:v>
      </x:c>
      <x:c r="F16" s="31" t="str">
        <x:v>Combiner boxes often elevated; exact height should override.</x:v>
      </x:c>
    </x:row>
    <x:row r="17" ht="15" hidden="0" customHeight="1">
      <x:c r="A17" s="31" t="str">
        <x:v>FS_SCADA</x:v>
      </x:c>
      <x:c r="B17" s="31" t="n">
        <x:v>0.5</x:v>
      </x:c>
      <x:c r="C17" s="31" t="n">
        <x:v>1</x:v>
      </x:c>
      <x:c r="D17" s="31" t="str">
        <x:v>outdoor metering/communication cabinet</x:v>
      </x:c>
      <x:c r="E17" s="31" t="str">
        <x:v>unknown</x:v>
      </x:c>
      <x:c r="F17" s="31" t="str">
        <x:v>Control electronics are sensitive to water and contamination.</x:v>
      </x:c>
    </x:row>
    <x:row r="18" ht="15" hidden="0" customHeight="1">
      <x:c r="A18" s="31" t="str">
        <x:v>FS_CABLE</x:v>
      </x:c>
      <x:c r="B18" s="31" t="n">
        <x:v>0</x:v>
      </x:c>
      <x:c r="C18" s="31" t="n">
        <x:v>1</x:v>
      </x:c>
      <x:c r="D18" s="31" t="str">
        <x:v>wet-location rated cable assumed where properly specified</x:v>
      </x:c>
      <x:c r="E18" s="31" t="str">
        <x:v>terminations may dominate</x:v>
      </x:c>
      <x:c r="F18" s="31" t="str">
        <x:v>Cable trench/conduit path; depth is a proxy and should be superseded by design details.</x:v>
      </x:c>
    </x:row>
    <x:row r="19" ht="15" hidden="0" customHeight="1">
      <x:c r="A19" s="31" t="str">
        <x:v>FS_PVMOD</x:v>
      </x:c>
      <x:c r="B19" s="31" t="n">
        <x:v>1</x:v>
      </x:c>
      <x:c r="C19" s="31" t="n">
        <x:v>1</x:v>
      </x:c>
      <x:c r="D19" s="31" t="str">
        <x:v>standard utility module above grade</x:v>
      </x:c>
      <x:c r="E19" s="31" t="str">
        <x:v>debris not modeled in default</x:v>
      </x:c>
      <x:c r="F19" s="31" t="str">
        <x:v>Local depth above module lower edge; often DR≈0 for ordinary shallow site flooding.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ea30312ce64d4aa5"/>
    <x:tablePart xmlns:r="http://schemas.openxmlformats.org/officeDocument/2006/relationships" r:id="Red07d0b5f7e54d0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6" customHeight="1">
      <x:c r="A1" s="6" t="str">
        <x:v>Flood Curve Data</x:v>
      </x:c>
    </x:row>
    <x:row r="2" ht="42" customHeight="1">
      <x:c r="A2" s="14" t="str">
        <x:v>Failure-unit curves as depth/state relationships. Used for charting and the site-applied loss table.</x:v>
      </x:c>
    </x:row>
    <x:row r="4" ht="15" hidden="0" customHeight="1">
      <x:c r="A4" s="30" t="str">
        <x:v>failure_unit_id</x:v>
      </x:c>
      <x:c r="B4" s="30" t="str">
        <x:v>curve_name</x:v>
      </x:c>
      <x:c r="C4" s="30" t="str">
        <x:v>source_basis</x:v>
      </x:c>
      <x:c r="D4" s="30" t="str">
        <x:v>curve_form</x:v>
      </x:c>
      <x:c r="E4" s="30" t="str">
        <x:v>0.00m</x:v>
      </x:c>
      <x:c r="F4" s="30" t="str">
        <x:v>0.02m</x:v>
      </x:c>
      <x:c r="G4" s="30" t="str">
        <x:v>0.05m</x:v>
      </x:c>
      <x:c r="H4" s="30" t="str">
        <x:v>0.15m</x:v>
      </x:c>
      <x:c r="I4" s="30" t="str">
        <x:v>0.30m</x:v>
      </x:c>
      <x:c r="J4" s="30" t="str">
        <x:v>0.60m</x:v>
      </x:c>
      <x:c r="K4" s="30" t="str">
        <x:v>1.00m</x:v>
      </x:c>
      <x:c r="L4" s="30" t="str">
        <x:v>1.50m</x:v>
      </x:c>
      <x:c r="M4" s="30" t="str">
        <x:v>2.00m</x:v>
      </x:c>
    </x:row>
    <x:row r="5" ht="15" hidden="0" customHeight="1">
      <x:c r="A5" s="31" t="str">
        <x:v>FS_INV</x:v>
      </x:c>
      <x:c r="B5" s="31" t="str">
        <x:v>inverter cabinet / power electronics inundation</x:v>
      </x:c>
      <x:c r="C5" s="31" t="str">
        <x:v>DOE/NEMA anchored engineering parameterization; not claims-calibrated</x:v>
      </x:c>
      <x:c r="D5" s="31" t="str">
        <x:v>piecewise_linear_state_curve</x:v>
      </x:c>
      <x:c r="E5" s="40" t="n">
        <x:v>0</x:v>
      </x:c>
      <x:c r="F5" s="40" t="n">
        <x:v>0.05</x:v>
      </x:c>
      <x:c r="G5" s="40" t="n">
        <x:v>0.25</x:v>
      </x:c>
      <x:c r="H5" s="40" t="n">
        <x:v>0.75</x:v>
      </x:c>
      <x:c r="I5" s="40" t="n">
        <x:v>0.95</x:v>
      </x:c>
      <x:c r="J5" s="40" t="n">
        <x:v>1</x:v>
      </x:c>
      <x:c r="K5" s="40" t="n">
        <x:v>1</x:v>
      </x:c>
      <x:c r="L5" s="40" t="n">
        <x:v>1</x:v>
      </x:c>
      <x:c r="M5" s="40" t="n">
        <x:v>1</x:v>
      </x:c>
    </x:row>
    <x:row r="6" ht="15" hidden="0" customHeight="1">
      <x:c r="A6" s="31" t="str">
        <x:v>FS_SWG</x:v>
      </x:c>
      <x:c r="B6" s="31" t="str">
        <x:v>switchgear / breaker cabinet inundation</x:v>
      </x:c>
      <x:c r="C6" s="31" t="str">
        <x:v>DOE/NEMA anchored engineering parameterization; not claims-calibrated</x:v>
      </x:c>
      <x:c r="D6" s="31" t="str">
        <x:v>piecewise_linear_state_curve</x:v>
      </x:c>
      <x:c r="E6" s="40" t="n">
        <x:v>0</x:v>
      </x:c>
      <x:c r="F6" s="40" t="n">
        <x:v>0.1</x:v>
      </x:c>
      <x:c r="G6" s="40" t="n">
        <x:v>0.4</x:v>
      </x:c>
      <x:c r="H6" s="40" t="n">
        <x:v>0.85</x:v>
      </x:c>
      <x:c r="I6" s="40" t="n">
        <x:v>1</x:v>
      </x:c>
      <x:c r="J6" s="40" t="n">
        <x:v>1</x:v>
      </x:c>
      <x:c r="K6" s="40" t="n">
        <x:v>1</x:v>
      </x:c>
      <x:c r="L6" s="40" t="n">
        <x:v>1</x:v>
      </x:c>
      <x:c r="M6" s="40" t="n">
        <x:v>1</x:v>
      </x:c>
    </x:row>
    <x:row r="7" ht="15" hidden="0" customHeight="1">
      <x:c r="A7" s="31" t="str">
        <x:v>FS_XFMR</x:v>
      </x:c>
      <x:c r="B7" s="31" t="str">
        <x:v>main transformer/control-area inundation</x:v>
      </x:c>
      <x:c r="C7" s="31" t="str">
        <x:v>DOE/NEMA anchored engineering parameterization; not claims-calibrated</x:v>
      </x:c>
      <x:c r="D7" s="31" t="str">
        <x:v>piecewise_linear_state_curve</x:v>
      </x:c>
      <x:c r="E7" s="40" t="n">
        <x:v>0</x:v>
      </x:c>
      <x:c r="F7" s="40" t="n">
        <x:v>0.03</x:v>
      </x:c>
      <x:c r="G7" s="40" t="n">
        <x:v>0.1</x:v>
      </x:c>
      <x:c r="H7" s="40" t="n">
        <x:v>0.25</x:v>
      </x:c>
      <x:c r="I7" s="40" t="n">
        <x:v>0.45</x:v>
      </x:c>
      <x:c r="J7" s="40" t="n">
        <x:v>0.65</x:v>
      </x:c>
      <x:c r="K7" s="40" t="n">
        <x:v>0.8</x:v>
      </x:c>
      <x:c r="L7" s="40" t="n">
        <x:v>0.95</x:v>
      </x:c>
      <x:c r="M7" s="40" t="n">
        <x:v>1</x:v>
      </x:c>
    </x:row>
    <x:row r="8" ht="15" hidden="0" customHeight="1">
      <x:c r="A8" s="31" t="str">
        <x:v>FS_COMB</x:v>
      </x:c>
      <x:c r="B8" s="31" t="str">
        <x:v>combiner/DC protection enclosure inundation</x:v>
      </x:c>
      <x:c r="C8" s="31" t="str">
        <x:v>DOE/NEMA anchored engineering parameterization; not claims-calibrated</x:v>
      </x:c>
      <x:c r="D8" s="31" t="str">
        <x:v>piecewise_linear_state_curve</x:v>
      </x:c>
      <x:c r="E8" s="40" t="n">
        <x:v>0</x:v>
      </x:c>
      <x:c r="F8" s="40" t="n">
        <x:v>0.1</x:v>
      </x:c>
      <x:c r="G8" s="40" t="n">
        <x:v>0.35</x:v>
      </x:c>
      <x:c r="H8" s="40" t="n">
        <x:v>0.8</x:v>
      </x:c>
      <x:c r="I8" s="40" t="n">
        <x:v>1</x:v>
      </x:c>
      <x:c r="J8" s="40" t="n">
        <x:v>1</x:v>
      </x:c>
      <x:c r="K8" s="40" t="n">
        <x:v>1</x:v>
      </x:c>
      <x:c r="L8" s="40" t="n">
        <x:v>1</x:v>
      </x:c>
      <x:c r="M8" s="40" t="n">
        <x:v>1</x:v>
      </x:c>
    </x:row>
    <x:row r="9" ht="15" hidden="0" customHeight="1">
      <x:c r="A9" s="31" t="str">
        <x:v>FS_SCADA</x:v>
      </x:c>
      <x:c r="B9" s="31" t="str">
        <x:v>SCADA/control cabinet inundation</x:v>
      </x:c>
      <x:c r="C9" s="31" t="str">
        <x:v>DOE/NEMA anchored engineering parameterization; not claims-calibrated</x:v>
      </x:c>
      <x:c r="D9" s="31" t="str">
        <x:v>piecewise_linear_state_curve</x:v>
      </x:c>
      <x:c r="E9" s="40" t="n">
        <x:v>0</x:v>
      </x:c>
      <x:c r="F9" s="40" t="n">
        <x:v>0.15</x:v>
      </x:c>
      <x:c r="G9" s="40" t="n">
        <x:v>0.45</x:v>
      </x:c>
      <x:c r="H9" s="40" t="n">
        <x:v>0.9</x:v>
      </x:c>
      <x:c r="I9" s="40" t="n">
        <x:v>1</x:v>
      </x:c>
      <x:c r="J9" s="40" t="n">
        <x:v>1</x:v>
      </x:c>
      <x:c r="K9" s="40" t="n">
        <x:v>1</x:v>
      </x:c>
      <x:c r="L9" s="40" t="n">
        <x:v>1</x:v>
      </x:c>
      <x:c r="M9" s="40" t="n">
        <x:v>1</x:v>
      </x:c>
    </x:row>
    <x:row r="10" ht="15" hidden="0" customHeight="1">
      <x:c r="A10" s="31" t="str">
        <x:v>FS_CABLE</x:v>
      </x:c>
      <x:c r="B10" s="31" t="str">
        <x:v>collection cable/conduit water path</x:v>
      </x:c>
      <x:c r="C10" s="31" t="str">
        <x:v>DOE/NEMA anchored engineering parameterization; not claims-calibrated</x:v>
      </x:c>
      <x:c r="D10" s="31" t="str">
        <x:v>piecewise_linear_state_curve</x:v>
      </x:c>
      <x:c r="E10" s="40" t="n">
        <x:v>0</x:v>
      </x:c>
      <x:c r="F10" s="40" t="n">
        <x:v>0.02</x:v>
      </x:c>
      <x:c r="G10" s="40" t="n">
        <x:v>0.05</x:v>
      </x:c>
      <x:c r="H10" s="40" t="n">
        <x:v>0.1</x:v>
      </x:c>
      <x:c r="I10" s="40" t="n">
        <x:v>0.15</x:v>
      </x:c>
      <x:c r="J10" s="40" t="n">
        <x:v>0.25</x:v>
      </x:c>
      <x:c r="K10" s="40" t="n">
        <x:v>0.4</x:v>
      </x:c>
      <x:c r="L10" s="40" t="n">
        <x:v>0.55</x:v>
      </x:c>
      <x:c r="M10" s="40" t="n">
        <x:v>0.65</x:v>
      </x:c>
    </x:row>
    <x:row r="11" ht="15" hidden="0" customHeight="1">
      <x:c r="A11" s="31" t="str">
        <x:v>FS_PVMOD</x:v>
      </x:c>
      <x:c r="B11" s="31" t="str">
        <x:v>PV module total submersion/debris pathway</x:v>
      </x:c>
      <x:c r="C11" s="31" t="str">
        <x:v>DOE/NEMA anchored engineering parameterization; not claims-calibrated</x:v>
      </x:c>
      <x:c r="D11" s="31" t="str">
        <x:v>piecewise_linear_state_curve</x:v>
      </x:c>
      <x:c r="E11" s="40" t="n">
        <x:v>0</x:v>
      </x:c>
      <x:c r="F11" s="40" t="n">
        <x:v>0.05</x:v>
      </x:c>
      <x:c r="G11" s="40" t="n">
        <x:v>0.1</x:v>
      </x:c>
      <x:c r="H11" s="40" t="n">
        <x:v>0.3</x:v>
      </x:c>
      <x:c r="I11" s="40" t="n">
        <x:v>0.6</x:v>
      </x:c>
      <x:c r="J11" s="40" t="n">
        <x:v>0.85</x:v>
      </x:c>
      <x:c r="K11" s="40" t="n">
        <x:v>1</x:v>
      </x:c>
      <x:c r="L11" s="40" t="n">
        <x:v>1</x:v>
      </x:c>
      <x:c r="M11" s="40" t="n">
        <x:v>1</x:v>
      </x:c>
    </x:row>
    <x:row r="12">
      <x:c r="E12" s="41"/>
      <x:c r="F12" s="41"/>
      <x:c r="G12" s="41"/>
      <x:c r="H12" s="41"/>
      <x:c r="I12" s="41"/>
      <x:c r="J12" s="41"/>
      <x:c r="K12" s="41"/>
      <x:c r="L12" s="41"/>
      <x:c r="M12" s="41"/>
    </x:row>
    <x:row r="13">
      <x:c r="E13" s="41"/>
      <x:c r="F13" s="41"/>
      <x:c r="G13" s="41"/>
      <x:c r="H13" s="41"/>
      <x:c r="I13" s="41"/>
      <x:c r="J13" s="41"/>
      <x:c r="K13" s="41"/>
      <x:c r="L13" s="41"/>
      <x:c r="M13" s="41"/>
    </x:row>
    <x:row r="18" ht="15" hidden="0" customHeight="1">
      <x:c r="A18" s="30" t="str">
        <x:v>failure_unit_id</x:v>
      </x:c>
      <x:c r="B18" s="30" t="str">
        <x:v>curve_name</x:v>
      </x:c>
      <x:c r="C18" s="30" t="str">
        <x:v>source_basis</x:v>
      </x:c>
      <x:c r="D18" s="30" t="str">
        <x:v>curve_form</x:v>
      </x:c>
      <x:c r="E18" s="30" t="str">
        <x:v>0.0m/s</x:v>
      </x:c>
      <x:c r="F18" s="30" t="str">
        <x:v>0.5m/s</x:v>
      </x:c>
      <x:c r="G18" s="30" t="str">
        <x:v>1.0m/s</x:v>
      </x:c>
      <x:c r="H18" s="30" t="str">
        <x:v>1.5m/s</x:v>
      </x:c>
      <x:c r="I18" s="30" t="str">
        <x:v>2.0m/s</x:v>
      </x:c>
      <x:c r="J18" s="30" t="str">
        <x:v>3.0m/s</x:v>
      </x:c>
      <x:c r="K18" s="30" t="str">
        <x:v>4.0m/s</x:v>
      </x:c>
    </x:row>
    <x:row r="19" ht="15" hidden="0" customHeight="1">
      <x:c r="A19" s="31" t="str">
        <x:v>FS_FOUND</x:v>
      </x:c>
      <x:c r="B19" s="31" t="str">
        <x:v>foundation scour / wet-soil support degradation</x:v>
      </x:c>
      <x:c r="C19" s="31" t="str">
        <x:v>DOE stormwater/scour guidance; placeholder geotech proxy</x:v>
      </x:c>
      <x:c r="D19" s="31" t="str">
        <x:v>piecewise_linear_velocity_proxy</x:v>
      </x:c>
      <x:c r="E19" s="40" t="n">
        <x:v>0</x:v>
      </x:c>
      <x:c r="F19" s="40" t="n">
        <x:v>0</x:v>
      </x:c>
      <x:c r="G19" s="40" t="n">
        <x:v>0.05</x:v>
      </x:c>
      <x:c r="H19" s="40" t="n">
        <x:v>0.15</x:v>
      </x:c>
      <x:c r="I19" s="40" t="n">
        <x:v>0.35</x:v>
      </x:c>
      <x:c r="J19" s="40" t="n">
        <x:v>0.7</x:v>
      </x:c>
      <x:c r="K19" s="40" t="n">
        <x:v>1</x:v>
      </x:c>
    </x:row>
  </x:sheetData>
  <x:mergeCells>
    <x:mergeCell ref="A1:K1"/>
    <x:mergeCell ref="A2:K2"/>
  </x:mergeCells>
  <x:pageMargins left="0.7" right="0.7" top="0.75" bottom="0.75" header="0.3" footer="0.3"/>
  <x:tableParts count="2">
    <x:tablePart xmlns:r="http://schemas.openxmlformats.org/officeDocument/2006/relationships" r:id="Re6784bfefdb54f33"/>
    <x:tablePart xmlns:r="http://schemas.openxmlformats.org/officeDocument/2006/relationships" r:id="R370548b673164b2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26" customHeight="1">
      <x:c r="A1" s="52" t="str">
        <x:v>Site-Applied Loss Ladder</x:v>
      </x:c>
      <x:c r="B1" s="50"/>
      <x:c r="C1" s="41"/>
      <x:c r="D1" s="44"/>
      <x:c r="E1" s="50"/>
      <x:c r="F1" s="41"/>
      <x:c r="G1" s="44"/>
      <x:c r="H1" s="50"/>
      <x:c r="I1" s="41"/>
      <x:c r="J1" s="44"/>
      <x:c r="K1" s="50"/>
      <x:c r="L1" s="41"/>
      <x:c r="M1" s="44"/>
      <x:c r="N1" s="50"/>
      <x:c r="O1" s="41"/>
      <x:c r="P1" s="44"/>
      <x:c r="Q1" s="50"/>
      <x:c r="R1" s="41"/>
      <x:c r="S1" s="44"/>
      <x:c r="T1" s="50"/>
      <x:c r="U1" s="41"/>
      <x:c r="V1" s="44"/>
      <x:c r="W1" s="44"/>
      <x:c r="X1" s="46"/>
      <x:c r="Y1" s="46"/>
    </x:row>
    <x:row r="2" ht="42" customHeight="1">
      <x:c r="A2" s="14" t="str">
        <x:v>Illustrative translation from site flood depth to failure-unit DR, % physical base, and %TIV. Replace default elevations with site data.</x:v>
      </x:c>
    </x:row>
    <x:row r="4" ht="15" hidden="0" customHeight="1">
      <x:c r="A4" s="30" t="str">
        <x:v>site_depth_m</x:v>
      </x:c>
      <x:c r="B4" s="30" t="str">
        <x:v>FS_INV_local_depth</x:v>
      </x:c>
      <x:c r="C4" s="30" t="str">
        <x:v>FS_INV_DR</x:v>
      </x:c>
      <x:c r="D4" s="30" t="str">
        <x:v>FS_INV_loss_$</x:v>
      </x:c>
      <x:c r="E4" s="30" t="str">
        <x:v>FS_SWG_local_depth</x:v>
      </x:c>
      <x:c r="F4" s="30" t="str">
        <x:v>FS_SWG_DR</x:v>
      </x:c>
      <x:c r="G4" s="30" t="str">
        <x:v>FS_SWG_loss_$</x:v>
      </x:c>
      <x:c r="H4" s="30" t="str">
        <x:v>FS_XFMR_local_depth</x:v>
      </x:c>
      <x:c r="I4" s="30" t="str">
        <x:v>FS_XFMR_DR</x:v>
      </x:c>
      <x:c r="J4" s="30" t="str">
        <x:v>FS_XFMR_loss_$</x:v>
      </x:c>
      <x:c r="K4" s="30" t="str">
        <x:v>FS_COMB_local_depth</x:v>
      </x:c>
      <x:c r="L4" s="30" t="str">
        <x:v>FS_COMB_DR</x:v>
      </x:c>
      <x:c r="M4" s="30" t="str">
        <x:v>FS_COMB_loss_$</x:v>
      </x:c>
      <x:c r="N4" s="30" t="str">
        <x:v>FS_SCADA_local_depth</x:v>
      </x:c>
      <x:c r="O4" s="30" t="str">
        <x:v>FS_SCADA_DR</x:v>
      </x:c>
      <x:c r="P4" s="30" t="str">
        <x:v>FS_SCADA_loss_$</x:v>
      </x:c>
      <x:c r="Q4" s="30" t="str">
        <x:v>FS_CABLE_local_depth</x:v>
      </x:c>
      <x:c r="R4" s="30" t="str">
        <x:v>FS_CABLE_DR</x:v>
      </x:c>
      <x:c r="S4" s="30" t="str">
        <x:v>FS_CABLE_loss_$</x:v>
      </x:c>
      <x:c r="T4" s="30" t="str">
        <x:v>FS_PVMOD_local_depth</x:v>
      </x:c>
      <x:c r="U4" s="30" t="str">
        <x:v>FS_PVMOD_DR</x:v>
      </x:c>
      <x:c r="V4" s="30" t="str">
        <x:v>FS_PVMOD_loss_$</x:v>
      </x:c>
      <x:c r="W4" s="30" t="str">
        <x:v>aggregate_loss_$</x:v>
      </x:c>
      <x:c r="X4" s="30" t="str">
        <x:v>%physical_base</x:v>
      </x:c>
      <x:c r="Y4" s="30" t="str">
        <x:v>%TIV</x:v>
      </x:c>
    </x:row>
    <x:row r="5" ht="15" hidden="0" customHeight="1">
      <x:c r="A5" s="31" t="n">
        <x:v>0</x:v>
      </x:c>
      <x:c r="B5" s="31" t="n">
        <x:f>MAX(0,$A5-0.35)</x:f>
        <x:v>0</x:v>
      </x:c>
      <x:c r="C5" s="31" t="n">
        <x:f>IF(B5&lt;=0,0,IF(B5&lt;=0.02,0+(0.05-0)*(B5-0)/(0.02-0),IF(B5&lt;=0.05,0.05+(0.25-0.05)*(B5-0.02)/(0.05-0.02),IF(B5&lt;=0.15,0.25+(0.75-0.25)*(B5-0.05)/(0.15-0.05),IF(B5&lt;=0.3,0.75+(0.95-0.75)*(B5-0.15)/(0.3-0.15),IF(B5&lt;=0.6,0.95+(1-0.95)*(B5-0.3)/(0.6-0.3),IF(B5&lt;=1,1+(1-1)*(B5-0.6)/(1-0.6),IF(B5&lt;=1.5,1+(1-1)*(B5-1)/(1.5-1),IF(B5&lt;=2,1+(1-1)*(B5-1.5)/(2-1.5),1)))))))))</x:f>
        <x:v>0</x:v>
      </x:c>
      <x:c r="D5" s="31" t="n">
        <x:f>C5*3230636.6410372383*1.0</x:f>
        <x:v>0</x:v>
      </x:c>
      <x:c r="E5" s="31" t="n">
        <x:f>MAX(0,$A5-0.4)</x:f>
        <x:v>0</x:v>
      </x:c>
      <x:c r="F5" s="31" t="n">
        <x:f>IF(E5&lt;=0,0,IF(E5&lt;=0.02,0+(0.1-0)*(E5-0)/(0.02-0),IF(E5&lt;=0.05,0.1+(0.4-0.1)*(E5-0.02)/(0.05-0.02),IF(E5&lt;=0.15,0.4+(0.85-0.4)*(E5-0.05)/(0.15-0.05),IF(E5&lt;=0.3,0.85+(1-0.85)*(E5-0.15)/(0.3-0.15),IF(E5&lt;=0.6,1+(1-1)*(E5-0.3)/(0.6-0.3),IF(E5&lt;=1,1+(1-1)*(E5-0.6)/(1-0.6),IF(E5&lt;=1.5,1+(1-1)*(E5-1)/(1.5-1),IF(E5&lt;=2,1+(1-1)*(E5-1.5)/(2-1.5),1)))))))))</x:f>
        <x:v>0</x:v>
      </x:c>
      <x:c r="G5" s="31" t="n">
        <x:f>F5*6838526.119402986*1.0</x:f>
        <x:v>0</x:v>
      </x:c>
      <x:c r="H5" s="31" t="n">
        <x:f>MAX(0,$A5-0.45)</x:f>
        <x:v>0</x:v>
      </x:c>
      <x:c r="I5" s="31" t="n">
        <x:f>IF(H5&lt;=0,0,IF(H5&lt;=0.02,0+(0.03-0)*(H5-0)/(0.02-0),IF(H5&lt;=0.05,0.03+(0.1-0.03)*(H5-0.02)/(0.05-0.02),IF(H5&lt;=0.15,0.1+(0.25-0.1)*(H5-0.05)/(0.15-0.05),IF(H5&lt;=0.3,0.25+(0.45-0.25)*(H5-0.15)/(0.3-0.15),IF(H5&lt;=0.6,0.45+(0.65-0.45)*(H5-0.3)/(0.6-0.3),IF(H5&lt;=1,0.65+(0.8-0.65)*(H5-0.6)/(1-0.6),IF(H5&lt;=1.5,0.8+(0.95-0.8)*(H5-1)/(1.5-1),IF(H5&lt;=2,0.95+(1-0.95)*(H5-1.5)/(2-1.5),1)))))))))</x:f>
        <x:v>0</x:v>
      </x:c>
      <x:c r="J5" s="31" t="n">
        <x:f>I5*3811940.298507462*1.0</x:f>
        <x:v>0</x:v>
      </x:c>
      <x:c r="K5" s="31" t="n">
        <x:f>MAX(0,$A5-0.8)</x:f>
        <x:v>0</x:v>
      </x:c>
      <x:c r="L5" s="31" t="n">
        <x:f>IF(K5&lt;=0,0,IF(K5&lt;=0.02,0+(0.1-0)*(K5-0)/(0.02-0),IF(K5&lt;=0.05,0.1+(0.35-0.1)*(K5-0.02)/(0.05-0.02),IF(K5&lt;=0.15,0.35+(0.8-0.35)*(K5-0.05)/(0.15-0.05),IF(K5&lt;=0.3,0.8+(1-0.8)*(K5-0.15)/(0.3-0.15),IF(K5&lt;=0.6,1+(1-1)*(K5-0.3)/(0.6-0.3),IF(K5&lt;=1,1+(1-1)*(K5-0.6)/(1-0.6),IF(K5&lt;=1.5,1+(1-1)*(K5-1)/(1.5-1),IF(K5&lt;=2,1+(1-1)*(K5-1.5)/(2-1.5),1)))))))))</x:f>
        <x:v>0</x:v>
      </x:c>
      <x:c r="M5" s="31" t="n">
        <x:f>L5*682625.0*1.0</x:f>
        <x:v>0</x:v>
      </x:c>
      <x:c r="N5" s="31" t="n">
        <x:f>MAX(0,$A5-0.5)</x:f>
        <x:v>0</x:v>
      </x:c>
      <x:c r="O5" s="31" t="n">
        <x:f>IF(N5&lt;=0,0,IF(N5&lt;=0.02,0+(0.15-0)*(N5-0)/(0.02-0),IF(N5&lt;=0.05,0.15+(0.45-0.15)*(N5-0.02)/(0.05-0.02),IF(N5&lt;=0.15,0.45+(0.9-0.45)*(N5-0.05)/(0.15-0.05),IF(N5&lt;=0.3,0.9+(1-0.9)*(N5-0.15)/(0.3-0.15),IF(N5&lt;=0.6,1+(1-1)*(N5-0.3)/(0.6-0.3),IF(N5&lt;=1,1+(1-1)*(N5-0.6)/(1-0.6),IF(N5&lt;=1.5,1+(1-1)*(N5-1)/(1.5-1),IF(N5&lt;=2,1+(1-1)*(N5-1.5)/(2-1.5),1)))))))))</x:f>
        <x:v>0</x:v>
      </x:c>
      <x:c r="P5" s="31" t="n">
        <x:f>O5*131000.0*1.0</x:f>
        <x:v>0</x:v>
      </x:c>
      <x:c r="Q5" s="31" t="n">
        <x:f>MAX(0,$A5-0.0)</x:f>
        <x:v>0</x:v>
      </x:c>
      <x:c r="R5" s="31" t="n">
        <x:f>IF(Q5&lt;=0,0,IF(Q5&lt;=0.02,0+(0.02-0)*(Q5-0)/(0.02-0),IF(Q5&lt;=0.05,0.02+(0.05-0.02)*(Q5-0.02)/(0.05-0.02),IF(Q5&lt;=0.15,0.05+(0.1-0.05)*(Q5-0.05)/(0.15-0.05),IF(Q5&lt;=0.3,0.1+(0.15-0.1)*(Q5-0.15)/(0.3-0.15),IF(Q5&lt;=0.6,0.15+(0.25-0.15)*(Q5-0.3)/(0.6-0.3),IF(Q5&lt;=1,0.25+(0.4-0.25)*(Q5-0.6)/(1-0.6),IF(Q5&lt;=1.5,0.4+(0.55-0.4)*(Q5-1)/(1.5-1),IF(Q5&lt;=2,0.55+(0.65-0.55)*(Q5-1.5)/(2-1.5),0.65)))))))))</x:f>
        <x:v>0</x:v>
      </x:c>
      <x:c r="S5" s="31" t="n">
        <x:f>R5*6932011.19402985*1.0</x:f>
        <x:v>0</x:v>
      </x:c>
      <x:c r="T5" s="31" t="n">
        <x:f>MAX(0,$A5-1.0)</x:f>
        <x:v>0</x:v>
      </x:c>
      <x:c r="U5" s="31" t="n">
        <x:f>IF(T5&lt;=0,0,IF(T5&lt;=0.02,0+(0.05-0)*(T5-0)/(0.02-0),IF(T5&lt;=0.05,0.05+(0.1-0.05)*(T5-0.02)/(0.05-0.02),IF(T5&lt;=0.15,0.1+(0.3-0.1)*(T5-0.05)/(0.15-0.05),IF(T5&lt;=0.3,0.3+(0.6-0.3)*(T5-0.15)/(0.3-0.15),IF(T5&lt;=0.6,0.6+(0.85-0.6)*(T5-0.3)/(0.6-0.3),IF(T5&lt;=1,0.85+(1-0.85)*(T5-0.6)/(1-0.6),IF(T5&lt;=1.5,1+(1-1)*(T5-1)/(1.5-1),IF(T5&lt;=2,1+(1-1)*(T5-1.5)/(2-1.5),1)))))))))</x:f>
        <x:v>0</x:v>
      </x:c>
      <x:c r="V5" s="31" t="n">
        <x:f>U5*29121485.143992487*1.0</x:f>
        <x:v>0</x:v>
      </x:c>
      <x:c r="W5" s="31" t="n">
        <x:f>SUM(D5,G5,J5,M5,P5,S5,V5)</x:f>
        <x:v>0</x:v>
      </x:c>
      <x:c r="X5" s="31" t="n">
        <x:f>W5/87779570.23626667</x:f>
        <x:v>0</x:v>
      </x:c>
      <x:c r="Y5" s="31" t="n">
        <x:f>W5/112000000</x:f>
        <x:v>0</x:v>
      </x:c>
    </x:row>
    <x:row r="6" ht="15" hidden="0" customHeight="1">
      <x:c r="A6" s="31" t="n">
        <x:v>0.1</x:v>
      </x:c>
      <x:c r="B6" s="31" t="n">
        <x:f>MAX(0,$A6-0.35)</x:f>
        <x:v>0</x:v>
      </x:c>
      <x:c r="C6" s="31" t="n">
        <x:f>IF(B6&lt;=0,0,IF(B6&lt;=0.02,0+(0.05-0)*(B6-0)/(0.02-0),IF(B6&lt;=0.05,0.05+(0.25-0.05)*(B6-0.02)/(0.05-0.02),IF(B6&lt;=0.15,0.25+(0.75-0.25)*(B6-0.05)/(0.15-0.05),IF(B6&lt;=0.3,0.75+(0.95-0.75)*(B6-0.15)/(0.3-0.15),IF(B6&lt;=0.6,0.95+(1-0.95)*(B6-0.3)/(0.6-0.3),IF(B6&lt;=1,1+(1-1)*(B6-0.6)/(1-0.6),IF(B6&lt;=1.5,1+(1-1)*(B6-1)/(1.5-1),IF(B6&lt;=2,1+(1-1)*(B6-1.5)/(2-1.5),1)))))))))</x:f>
        <x:v>0</x:v>
      </x:c>
      <x:c r="D6" s="31" t="n">
        <x:f>C6*3230636.6410372383*1.0</x:f>
        <x:v>0</x:v>
      </x:c>
      <x:c r="E6" s="31" t="n">
        <x:f>MAX(0,$A6-0.4)</x:f>
        <x:v>0</x:v>
      </x:c>
      <x:c r="F6" s="31" t="n">
        <x:f>IF(E6&lt;=0,0,IF(E6&lt;=0.02,0+(0.1-0)*(E6-0)/(0.02-0),IF(E6&lt;=0.05,0.1+(0.4-0.1)*(E6-0.02)/(0.05-0.02),IF(E6&lt;=0.15,0.4+(0.85-0.4)*(E6-0.05)/(0.15-0.05),IF(E6&lt;=0.3,0.85+(1-0.85)*(E6-0.15)/(0.3-0.15),IF(E6&lt;=0.6,1+(1-1)*(E6-0.3)/(0.6-0.3),IF(E6&lt;=1,1+(1-1)*(E6-0.6)/(1-0.6),IF(E6&lt;=1.5,1+(1-1)*(E6-1)/(1.5-1),IF(E6&lt;=2,1+(1-1)*(E6-1.5)/(2-1.5),1)))))))))</x:f>
        <x:v>0</x:v>
      </x:c>
      <x:c r="G6" s="31" t="n">
        <x:f>F6*6838526.119402986*1.0</x:f>
        <x:v>0</x:v>
      </x:c>
      <x:c r="H6" s="31" t="n">
        <x:f>MAX(0,$A6-0.45)</x:f>
        <x:v>0</x:v>
      </x:c>
      <x:c r="I6" s="31" t="n">
        <x:f>IF(H6&lt;=0,0,IF(H6&lt;=0.02,0+(0.03-0)*(H6-0)/(0.02-0),IF(H6&lt;=0.05,0.03+(0.1-0.03)*(H6-0.02)/(0.05-0.02),IF(H6&lt;=0.15,0.1+(0.25-0.1)*(H6-0.05)/(0.15-0.05),IF(H6&lt;=0.3,0.25+(0.45-0.25)*(H6-0.15)/(0.3-0.15),IF(H6&lt;=0.6,0.45+(0.65-0.45)*(H6-0.3)/(0.6-0.3),IF(H6&lt;=1,0.65+(0.8-0.65)*(H6-0.6)/(1-0.6),IF(H6&lt;=1.5,0.8+(0.95-0.8)*(H6-1)/(1.5-1),IF(H6&lt;=2,0.95+(1-0.95)*(H6-1.5)/(2-1.5),1)))))))))</x:f>
        <x:v>0</x:v>
      </x:c>
      <x:c r="J6" s="31" t="n">
        <x:f>I6*3811940.298507462*1.0</x:f>
        <x:v>0</x:v>
      </x:c>
      <x:c r="K6" s="31" t="n">
        <x:f>MAX(0,$A6-0.8)</x:f>
        <x:v>0</x:v>
      </x:c>
      <x:c r="L6" s="31" t="n">
        <x:f>IF(K6&lt;=0,0,IF(K6&lt;=0.02,0+(0.1-0)*(K6-0)/(0.02-0),IF(K6&lt;=0.05,0.1+(0.35-0.1)*(K6-0.02)/(0.05-0.02),IF(K6&lt;=0.15,0.35+(0.8-0.35)*(K6-0.05)/(0.15-0.05),IF(K6&lt;=0.3,0.8+(1-0.8)*(K6-0.15)/(0.3-0.15),IF(K6&lt;=0.6,1+(1-1)*(K6-0.3)/(0.6-0.3),IF(K6&lt;=1,1+(1-1)*(K6-0.6)/(1-0.6),IF(K6&lt;=1.5,1+(1-1)*(K6-1)/(1.5-1),IF(K6&lt;=2,1+(1-1)*(K6-1.5)/(2-1.5),1)))))))))</x:f>
        <x:v>0</x:v>
      </x:c>
      <x:c r="M6" s="31" t="n">
        <x:f>L6*682625.0*1.0</x:f>
        <x:v>0</x:v>
      </x:c>
      <x:c r="N6" s="31" t="n">
        <x:f>MAX(0,$A6-0.5)</x:f>
        <x:v>0</x:v>
      </x:c>
      <x:c r="O6" s="31" t="n">
        <x:f>IF(N6&lt;=0,0,IF(N6&lt;=0.02,0+(0.15-0)*(N6-0)/(0.02-0),IF(N6&lt;=0.05,0.15+(0.45-0.15)*(N6-0.02)/(0.05-0.02),IF(N6&lt;=0.15,0.45+(0.9-0.45)*(N6-0.05)/(0.15-0.05),IF(N6&lt;=0.3,0.9+(1-0.9)*(N6-0.15)/(0.3-0.15),IF(N6&lt;=0.6,1+(1-1)*(N6-0.3)/(0.6-0.3),IF(N6&lt;=1,1+(1-1)*(N6-0.6)/(1-0.6),IF(N6&lt;=1.5,1+(1-1)*(N6-1)/(1.5-1),IF(N6&lt;=2,1+(1-1)*(N6-1.5)/(2-1.5),1)))))))))</x:f>
        <x:v>0</x:v>
      </x:c>
      <x:c r="P6" s="31" t="n">
        <x:f>O6*131000.0*1.0</x:f>
        <x:v>0</x:v>
      </x:c>
      <x:c r="Q6" s="31" t="n">
        <x:f>MAX(0,$A6-0.0)</x:f>
        <x:v>0.1</x:v>
      </x:c>
      <x:c r="R6" s="31" t="n">
        <x:f>IF(Q6&lt;=0,0,IF(Q6&lt;=0.02,0+(0.02-0)*(Q6-0)/(0.02-0),IF(Q6&lt;=0.05,0.02+(0.05-0.02)*(Q6-0.02)/(0.05-0.02),IF(Q6&lt;=0.15,0.05+(0.1-0.05)*(Q6-0.05)/(0.15-0.05),IF(Q6&lt;=0.3,0.1+(0.15-0.1)*(Q6-0.15)/(0.3-0.15),IF(Q6&lt;=0.6,0.15+(0.25-0.15)*(Q6-0.3)/(0.6-0.3),IF(Q6&lt;=1,0.25+(0.4-0.25)*(Q6-0.6)/(1-0.6),IF(Q6&lt;=1.5,0.4+(0.55-0.4)*(Q6-1)/(1.5-1),IF(Q6&lt;=2,0.55+(0.65-0.55)*(Q6-1.5)/(2-1.5),0.65)))))))))</x:f>
        <x:v>0.07500000000000001</x:v>
      </x:c>
      <x:c r="S6" s="31" t="n">
        <x:f>R6*6932011.19402985*1.0</x:f>
        <x:v>519900.8395522388</x:v>
      </x:c>
      <x:c r="T6" s="31" t="n">
        <x:f>MAX(0,$A6-1.0)</x:f>
        <x:v>0</x:v>
      </x:c>
      <x:c r="U6" s="31" t="n">
        <x:f>IF(T6&lt;=0,0,IF(T6&lt;=0.02,0+(0.05-0)*(T6-0)/(0.02-0),IF(T6&lt;=0.05,0.05+(0.1-0.05)*(T6-0.02)/(0.05-0.02),IF(T6&lt;=0.15,0.1+(0.3-0.1)*(T6-0.05)/(0.15-0.05),IF(T6&lt;=0.3,0.3+(0.6-0.3)*(T6-0.15)/(0.3-0.15),IF(T6&lt;=0.6,0.6+(0.85-0.6)*(T6-0.3)/(0.6-0.3),IF(T6&lt;=1,0.85+(1-0.85)*(T6-0.6)/(1-0.6),IF(T6&lt;=1.5,1+(1-1)*(T6-1)/(1.5-1),IF(T6&lt;=2,1+(1-1)*(T6-1.5)/(2-1.5),1)))))))))</x:f>
        <x:v>0</x:v>
      </x:c>
      <x:c r="V6" s="31" t="n">
        <x:f>U6*29121485.143992487*1.0</x:f>
        <x:v>0</x:v>
      </x:c>
      <x:c r="W6" s="31" t="n">
        <x:f>SUM(D6,G6,J6,M6,P6,S6,V6)</x:f>
        <x:v>519900.8395522388</x:v>
      </x:c>
      <x:c r="X6" s="31" t="n">
        <x:f>W6/87779570.23626667</x:f>
        <x:v>0.005922800010900926</x:v>
      </x:c>
      <x:c r="Y6" s="31" t="n">
        <x:f>W6/112000000</x:f>
        <x:v>0.004641971781716418</x:v>
      </x:c>
    </x:row>
    <x:row r="7" ht="15" hidden="0" customHeight="1">
      <x:c r="A7" s="31" t="n">
        <x:v>0.2</x:v>
      </x:c>
      <x:c r="B7" s="31" t="n">
        <x:f>MAX(0,$A7-0.35)</x:f>
        <x:v>0</x:v>
      </x:c>
      <x:c r="C7" s="31" t="n">
        <x:f>IF(B7&lt;=0,0,IF(B7&lt;=0.02,0+(0.05-0)*(B7-0)/(0.02-0),IF(B7&lt;=0.05,0.05+(0.25-0.05)*(B7-0.02)/(0.05-0.02),IF(B7&lt;=0.15,0.25+(0.75-0.25)*(B7-0.05)/(0.15-0.05),IF(B7&lt;=0.3,0.75+(0.95-0.75)*(B7-0.15)/(0.3-0.15),IF(B7&lt;=0.6,0.95+(1-0.95)*(B7-0.3)/(0.6-0.3),IF(B7&lt;=1,1+(1-1)*(B7-0.6)/(1-0.6),IF(B7&lt;=1.5,1+(1-1)*(B7-1)/(1.5-1),IF(B7&lt;=2,1+(1-1)*(B7-1.5)/(2-1.5),1)))))))))</x:f>
        <x:v>0</x:v>
      </x:c>
      <x:c r="D7" s="31" t="n">
        <x:f>C7*3230636.6410372383*1.0</x:f>
        <x:v>0</x:v>
      </x:c>
      <x:c r="E7" s="31" t="n">
        <x:f>MAX(0,$A7-0.4)</x:f>
        <x:v>0</x:v>
      </x:c>
      <x:c r="F7" s="31" t="n">
        <x:f>IF(E7&lt;=0,0,IF(E7&lt;=0.02,0+(0.1-0)*(E7-0)/(0.02-0),IF(E7&lt;=0.05,0.1+(0.4-0.1)*(E7-0.02)/(0.05-0.02),IF(E7&lt;=0.15,0.4+(0.85-0.4)*(E7-0.05)/(0.15-0.05),IF(E7&lt;=0.3,0.85+(1-0.85)*(E7-0.15)/(0.3-0.15),IF(E7&lt;=0.6,1+(1-1)*(E7-0.3)/(0.6-0.3),IF(E7&lt;=1,1+(1-1)*(E7-0.6)/(1-0.6),IF(E7&lt;=1.5,1+(1-1)*(E7-1)/(1.5-1),IF(E7&lt;=2,1+(1-1)*(E7-1.5)/(2-1.5),1)))))))))</x:f>
        <x:v>0</x:v>
      </x:c>
      <x:c r="G7" s="31" t="n">
        <x:f>F7*6838526.119402986*1.0</x:f>
        <x:v>0</x:v>
      </x:c>
      <x:c r="H7" s="31" t="n">
        <x:f>MAX(0,$A7-0.45)</x:f>
        <x:v>0</x:v>
      </x:c>
      <x:c r="I7" s="31" t="n">
        <x:f>IF(H7&lt;=0,0,IF(H7&lt;=0.02,0+(0.03-0)*(H7-0)/(0.02-0),IF(H7&lt;=0.05,0.03+(0.1-0.03)*(H7-0.02)/(0.05-0.02),IF(H7&lt;=0.15,0.1+(0.25-0.1)*(H7-0.05)/(0.15-0.05),IF(H7&lt;=0.3,0.25+(0.45-0.25)*(H7-0.15)/(0.3-0.15),IF(H7&lt;=0.6,0.45+(0.65-0.45)*(H7-0.3)/(0.6-0.3),IF(H7&lt;=1,0.65+(0.8-0.65)*(H7-0.6)/(1-0.6),IF(H7&lt;=1.5,0.8+(0.95-0.8)*(H7-1)/(1.5-1),IF(H7&lt;=2,0.95+(1-0.95)*(H7-1.5)/(2-1.5),1)))))))))</x:f>
        <x:v>0</x:v>
      </x:c>
      <x:c r="J7" s="31" t="n">
        <x:f>I7*3811940.298507462*1.0</x:f>
        <x:v>0</x:v>
      </x:c>
      <x:c r="K7" s="31" t="n">
        <x:f>MAX(0,$A7-0.8)</x:f>
        <x:v>0</x:v>
      </x:c>
      <x:c r="L7" s="31" t="n">
        <x:f>IF(K7&lt;=0,0,IF(K7&lt;=0.02,0+(0.1-0)*(K7-0)/(0.02-0),IF(K7&lt;=0.05,0.1+(0.35-0.1)*(K7-0.02)/(0.05-0.02),IF(K7&lt;=0.15,0.35+(0.8-0.35)*(K7-0.05)/(0.15-0.05),IF(K7&lt;=0.3,0.8+(1-0.8)*(K7-0.15)/(0.3-0.15),IF(K7&lt;=0.6,1+(1-1)*(K7-0.3)/(0.6-0.3),IF(K7&lt;=1,1+(1-1)*(K7-0.6)/(1-0.6),IF(K7&lt;=1.5,1+(1-1)*(K7-1)/(1.5-1),IF(K7&lt;=2,1+(1-1)*(K7-1.5)/(2-1.5),1)))))))))</x:f>
        <x:v>0</x:v>
      </x:c>
      <x:c r="M7" s="31" t="n">
        <x:f>L7*682625.0*1.0</x:f>
        <x:v>0</x:v>
      </x:c>
      <x:c r="N7" s="31" t="n">
        <x:f>MAX(0,$A7-0.5)</x:f>
        <x:v>0</x:v>
      </x:c>
      <x:c r="O7" s="31" t="n">
        <x:f>IF(N7&lt;=0,0,IF(N7&lt;=0.02,0+(0.15-0)*(N7-0)/(0.02-0),IF(N7&lt;=0.05,0.15+(0.45-0.15)*(N7-0.02)/(0.05-0.02),IF(N7&lt;=0.15,0.45+(0.9-0.45)*(N7-0.05)/(0.15-0.05),IF(N7&lt;=0.3,0.9+(1-0.9)*(N7-0.15)/(0.3-0.15),IF(N7&lt;=0.6,1+(1-1)*(N7-0.3)/(0.6-0.3),IF(N7&lt;=1,1+(1-1)*(N7-0.6)/(1-0.6),IF(N7&lt;=1.5,1+(1-1)*(N7-1)/(1.5-1),IF(N7&lt;=2,1+(1-1)*(N7-1.5)/(2-1.5),1)))))))))</x:f>
        <x:v>0</x:v>
      </x:c>
      <x:c r="P7" s="31" t="n">
        <x:f>O7*131000.0*1.0</x:f>
        <x:v>0</x:v>
      </x:c>
      <x:c r="Q7" s="31" t="n">
        <x:f>MAX(0,$A7-0.0)</x:f>
        <x:v>0.2</x:v>
      </x:c>
      <x:c r="R7" s="31" t="n">
        <x:f>IF(Q7&lt;=0,0,IF(Q7&lt;=0.02,0+(0.02-0)*(Q7-0)/(0.02-0),IF(Q7&lt;=0.05,0.02+(0.05-0.02)*(Q7-0.02)/(0.05-0.02),IF(Q7&lt;=0.15,0.05+(0.1-0.05)*(Q7-0.05)/(0.15-0.05),IF(Q7&lt;=0.3,0.1+(0.15-0.1)*(Q7-0.15)/(0.3-0.15),IF(Q7&lt;=0.6,0.15+(0.25-0.15)*(Q7-0.3)/(0.6-0.3),IF(Q7&lt;=1,0.25+(0.4-0.25)*(Q7-0.6)/(1-0.6),IF(Q7&lt;=1.5,0.4+(0.55-0.4)*(Q7-1)/(1.5-1),IF(Q7&lt;=2,0.55+(0.65-0.55)*(Q7-1.5)/(2-1.5),0.65)))))))))</x:f>
        <x:v>0.11666666666666667</x:v>
      </x:c>
      <x:c r="S7" s="31" t="n">
        <x:f>R7*6932011.19402985*1.0</x:f>
        <x:v>808734.6393034825</x:v>
      </x:c>
      <x:c r="T7" s="31" t="n">
        <x:f>MAX(0,$A7-1.0)</x:f>
        <x:v>0</x:v>
      </x:c>
      <x:c r="U7" s="31" t="n">
        <x:f>IF(T7&lt;=0,0,IF(T7&lt;=0.02,0+(0.05-0)*(T7-0)/(0.02-0),IF(T7&lt;=0.05,0.05+(0.1-0.05)*(T7-0.02)/(0.05-0.02),IF(T7&lt;=0.15,0.1+(0.3-0.1)*(T7-0.05)/(0.15-0.05),IF(T7&lt;=0.3,0.3+(0.6-0.3)*(T7-0.15)/(0.3-0.15),IF(T7&lt;=0.6,0.6+(0.85-0.6)*(T7-0.3)/(0.6-0.3),IF(T7&lt;=1,0.85+(1-0.85)*(T7-0.6)/(1-0.6),IF(T7&lt;=1.5,1+(1-1)*(T7-1)/(1.5-1),IF(T7&lt;=2,1+(1-1)*(T7-1.5)/(2-1.5),1)))))))))</x:f>
        <x:v>0</x:v>
      </x:c>
      <x:c r="V7" s="31" t="n">
        <x:f>U7*29121485.143992487*1.0</x:f>
        <x:v>0</x:v>
      </x:c>
      <x:c r="W7" s="31" t="n">
        <x:f>SUM(D7,G7,J7,M7,P7,S7,V7)</x:f>
        <x:v>808734.6393034825</x:v>
      </x:c>
      <x:c r="X7" s="31" t="n">
        <x:f>W7/87779570.23626667</x:f>
        <x:v>0.009213244461401439</x:v>
      </x:c>
      <x:c r="Y7" s="31" t="n">
        <x:f>W7/112000000</x:f>
        <x:v>0.007220844993781094</x:v>
      </x:c>
    </x:row>
    <x:row r="8" ht="15" hidden="0" customHeight="1">
      <x:c r="A8" s="31" t="n">
        <x:v>0.3</x:v>
      </x:c>
      <x:c r="B8" s="31" t="n">
        <x:f>MAX(0,$A8-0.35)</x:f>
        <x:v>0</x:v>
      </x:c>
      <x:c r="C8" s="31" t="n">
        <x:f>IF(B8&lt;=0,0,IF(B8&lt;=0.02,0+(0.05-0)*(B8-0)/(0.02-0),IF(B8&lt;=0.05,0.05+(0.25-0.05)*(B8-0.02)/(0.05-0.02),IF(B8&lt;=0.15,0.25+(0.75-0.25)*(B8-0.05)/(0.15-0.05),IF(B8&lt;=0.3,0.75+(0.95-0.75)*(B8-0.15)/(0.3-0.15),IF(B8&lt;=0.6,0.95+(1-0.95)*(B8-0.3)/(0.6-0.3),IF(B8&lt;=1,1+(1-1)*(B8-0.6)/(1-0.6),IF(B8&lt;=1.5,1+(1-1)*(B8-1)/(1.5-1),IF(B8&lt;=2,1+(1-1)*(B8-1.5)/(2-1.5),1)))))))))</x:f>
        <x:v>0</x:v>
      </x:c>
      <x:c r="D8" s="31" t="n">
        <x:f>C8*3230636.6410372383*1.0</x:f>
        <x:v>0</x:v>
      </x:c>
      <x:c r="E8" s="31" t="n">
        <x:f>MAX(0,$A8-0.4)</x:f>
        <x:v>0</x:v>
      </x:c>
      <x:c r="F8" s="31" t="n">
        <x:f>IF(E8&lt;=0,0,IF(E8&lt;=0.02,0+(0.1-0)*(E8-0)/(0.02-0),IF(E8&lt;=0.05,0.1+(0.4-0.1)*(E8-0.02)/(0.05-0.02),IF(E8&lt;=0.15,0.4+(0.85-0.4)*(E8-0.05)/(0.15-0.05),IF(E8&lt;=0.3,0.85+(1-0.85)*(E8-0.15)/(0.3-0.15),IF(E8&lt;=0.6,1+(1-1)*(E8-0.3)/(0.6-0.3),IF(E8&lt;=1,1+(1-1)*(E8-0.6)/(1-0.6),IF(E8&lt;=1.5,1+(1-1)*(E8-1)/(1.5-1),IF(E8&lt;=2,1+(1-1)*(E8-1.5)/(2-1.5),1)))))))))</x:f>
        <x:v>0</x:v>
      </x:c>
      <x:c r="G8" s="31" t="n">
        <x:f>F8*6838526.119402986*1.0</x:f>
        <x:v>0</x:v>
      </x:c>
      <x:c r="H8" s="31" t="n">
        <x:f>MAX(0,$A8-0.45)</x:f>
        <x:v>0</x:v>
      </x:c>
      <x:c r="I8" s="31" t="n">
        <x:f>IF(H8&lt;=0,0,IF(H8&lt;=0.02,0+(0.03-0)*(H8-0)/(0.02-0),IF(H8&lt;=0.05,0.03+(0.1-0.03)*(H8-0.02)/(0.05-0.02),IF(H8&lt;=0.15,0.1+(0.25-0.1)*(H8-0.05)/(0.15-0.05),IF(H8&lt;=0.3,0.25+(0.45-0.25)*(H8-0.15)/(0.3-0.15),IF(H8&lt;=0.6,0.45+(0.65-0.45)*(H8-0.3)/(0.6-0.3),IF(H8&lt;=1,0.65+(0.8-0.65)*(H8-0.6)/(1-0.6),IF(H8&lt;=1.5,0.8+(0.95-0.8)*(H8-1)/(1.5-1),IF(H8&lt;=2,0.95+(1-0.95)*(H8-1.5)/(2-1.5),1)))))))))</x:f>
        <x:v>0</x:v>
      </x:c>
      <x:c r="J8" s="31" t="n">
        <x:f>I8*3811940.298507462*1.0</x:f>
        <x:v>0</x:v>
      </x:c>
      <x:c r="K8" s="31" t="n">
        <x:f>MAX(0,$A8-0.8)</x:f>
        <x:v>0</x:v>
      </x:c>
      <x:c r="L8" s="31" t="n">
        <x:f>IF(K8&lt;=0,0,IF(K8&lt;=0.02,0+(0.1-0)*(K8-0)/(0.02-0),IF(K8&lt;=0.05,0.1+(0.35-0.1)*(K8-0.02)/(0.05-0.02),IF(K8&lt;=0.15,0.35+(0.8-0.35)*(K8-0.05)/(0.15-0.05),IF(K8&lt;=0.3,0.8+(1-0.8)*(K8-0.15)/(0.3-0.15),IF(K8&lt;=0.6,1+(1-1)*(K8-0.3)/(0.6-0.3),IF(K8&lt;=1,1+(1-1)*(K8-0.6)/(1-0.6),IF(K8&lt;=1.5,1+(1-1)*(K8-1)/(1.5-1),IF(K8&lt;=2,1+(1-1)*(K8-1.5)/(2-1.5),1)))))))))</x:f>
        <x:v>0</x:v>
      </x:c>
      <x:c r="M8" s="31" t="n">
        <x:f>L8*682625.0*1.0</x:f>
        <x:v>0</x:v>
      </x:c>
      <x:c r="N8" s="31" t="n">
        <x:f>MAX(0,$A8-0.5)</x:f>
        <x:v>0</x:v>
      </x:c>
      <x:c r="O8" s="31" t="n">
        <x:f>IF(N8&lt;=0,0,IF(N8&lt;=0.02,0+(0.15-0)*(N8-0)/(0.02-0),IF(N8&lt;=0.05,0.15+(0.45-0.15)*(N8-0.02)/(0.05-0.02),IF(N8&lt;=0.15,0.45+(0.9-0.45)*(N8-0.05)/(0.15-0.05),IF(N8&lt;=0.3,0.9+(1-0.9)*(N8-0.15)/(0.3-0.15),IF(N8&lt;=0.6,1+(1-1)*(N8-0.3)/(0.6-0.3),IF(N8&lt;=1,1+(1-1)*(N8-0.6)/(1-0.6),IF(N8&lt;=1.5,1+(1-1)*(N8-1)/(1.5-1),IF(N8&lt;=2,1+(1-1)*(N8-1.5)/(2-1.5),1)))))))))</x:f>
        <x:v>0</x:v>
      </x:c>
      <x:c r="P8" s="31" t="n">
        <x:f>O8*131000.0*1.0</x:f>
        <x:v>0</x:v>
      </x:c>
      <x:c r="Q8" s="31" t="n">
        <x:f>MAX(0,$A8-0.0)</x:f>
        <x:v>0.3</x:v>
      </x:c>
      <x:c r="R8" s="31" t="n">
        <x:f>IF(Q8&lt;=0,0,IF(Q8&lt;=0.02,0+(0.02-0)*(Q8-0)/(0.02-0),IF(Q8&lt;=0.05,0.02+(0.05-0.02)*(Q8-0.02)/(0.05-0.02),IF(Q8&lt;=0.15,0.05+(0.1-0.05)*(Q8-0.05)/(0.15-0.05),IF(Q8&lt;=0.3,0.1+(0.15-0.1)*(Q8-0.15)/(0.3-0.15),IF(Q8&lt;=0.6,0.15+(0.25-0.15)*(Q8-0.3)/(0.6-0.3),IF(Q8&lt;=1,0.25+(0.4-0.25)*(Q8-0.6)/(1-0.6),IF(Q8&lt;=1.5,0.4+(0.55-0.4)*(Q8-1)/(1.5-1),IF(Q8&lt;=2,0.55+(0.65-0.55)*(Q8-1.5)/(2-1.5),0.65)))))))))</x:f>
        <x:v>0.15</x:v>
      </x:c>
      <x:c r="S8" s="31" t="n">
        <x:f>R8*6932011.19402985*1.0</x:f>
        <x:v>1039801.6791044774</x:v>
      </x:c>
      <x:c r="T8" s="31" t="n">
        <x:f>MAX(0,$A8-1.0)</x:f>
        <x:v>0</x:v>
      </x:c>
      <x:c r="U8" s="31" t="n">
        <x:f>IF(T8&lt;=0,0,IF(T8&lt;=0.02,0+(0.05-0)*(T8-0)/(0.02-0),IF(T8&lt;=0.05,0.05+(0.1-0.05)*(T8-0.02)/(0.05-0.02),IF(T8&lt;=0.15,0.1+(0.3-0.1)*(T8-0.05)/(0.15-0.05),IF(T8&lt;=0.3,0.3+(0.6-0.3)*(T8-0.15)/(0.3-0.15),IF(T8&lt;=0.6,0.6+(0.85-0.6)*(T8-0.3)/(0.6-0.3),IF(T8&lt;=1,0.85+(1-0.85)*(T8-0.6)/(1-0.6),IF(T8&lt;=1.5,1+(1-1)*(T8-1)/(1.5-1),IF(T8&lt;=2,1+(1-1)*(T8-1.5)/(2-1.5),1)))))))))</x:f>
        <x:v>0</x:v>
      </x:c>
      <x:c r="V8" s="31" t="n">
        <x:f>U8*29121485.143992487*1.0</x:f>
        <x:v>0</x:v>
      </x:c>
      <x:c r="W8" s="31" t="n">
        <x:f>SUM(D8,G8,J8,M8,P8,S8,V8)</x:f>
        <x:v>1039801.6791044774</x:v>
      </x:c>
      <x:c r="X8" s="31" t="n">
        <x:f>W8/87779570.23626667</x:f>
        <x:v>0.011845600021801848</x:v>
      </x:c>
      <x:c r="Y8" s="31" t="n">
        <x:f>W8/112000000</x:f>
        <x:v>0.009283943563432834</x:v>
      </x:c>
    </x:row>
    <x:row r="9" ht="15" hidden="0" customHeight="1">
      <x:c r="A9" s="31" t="n">
        <x:v>0.4</x:v>
      </x:c>
      <x:c r="B9" s="31" t="n">
        <x:f>MAX(0,$A9-0.35)</x:f>
        <x:v>0.050000000000000044</x:v>
      </x:c>
      <x:c r="C9" s="31" t="n">
        <x:f>IF(B9&lt;=0,0,IF(B9&lt;=0.02,0+(0.05-0)*(B9-0)/(0.02-0),IF(B9&lt;=0.05,0.05+(0.25-0.05)*(B9-0.02)/(0.05-0.02),IF(B9&lt;=0.15,0.25+(0.75-0.25)*(B9-0.05)/(0.15-0.05),IF(B9&lt;=0.3,0.75+(0.95-0.75)*(B9-0.15)/(0.3-0.15),IF(B9&lt;=0.6,0.95+(1-0.95)*(B9-0.3)/(0.6-0.3),IF(B9&lt;=1,1+(1-1)*(B9-0.6)/(1-0.6),IF(B9&lt;=1.5,1+(1-1)*(B9-1)/(1.5-1),IF(B9&lt;=2,1+(1-1)*(B9-1.5)/(2-1.5),1)))))))))</x:f>
        <x:v>0.2500000000000003</x:v>
      </x:c>
      <x:c r="D9" s="31" t="n">
        <x:f>C9*3230636.6410372383*1.0</x:f>
        <x:v>807659.1602593105</x:v>
      </x:c>
      <x:c r="E9" s="31" t="n">
        <x:f>MAX(0,$A9-0.4)</x:f>
        <x:v>0</x:v>
      </x:c>
      <x:c r="F9" s="31" t="n">
        <x:f>IF(E9&lt;=0,0,IF(E9&lt;=0.02,0+(0.1-0)*(E9-0)/(0.02-0),IF(E9&lt;=0.05,0.1+(0.4-0.1)*(E9-0.02)/(0.05-0.02),IF(E9&lt;=0.15,0.4+(0.85-0.4)*(E9-0.05)/(0.15-0.05),IF(E9&lt;=0.3,0.85+(1-0.85)*(E9-0.15)/(0.3-0.15),IF(E9&lt;=0.6,1+(1-1)*(E9-0.3)/(0.6-0.3),IF(E9&lt;=1,1+(1-1)*(E9-0.6)/(1-0.6),IF(E9&lt;=1.5,1+(1-1)*(E9-1)/(1.5-1),IF(E9&lt;=2,1+(1-1)*(E9-1.5)/(2-1.5),1)))))))))</x:f>
        <x:v>0</x:v>
      </x:c>
      <x:c r="G9" s="31" t="n">
        <x:f>F9*6838526.119402986*1.0</x:f>
        <x:v>0</x:v>
      </x:c>
      <x:c r="H9" s="31" t="n">
        <x:f>MAX(0,$A9-0.45)</x:f>
        <x:v>0</x:v>
      </x:c>
      <x:c r="I9" s="31" t="n">
        <x:f>IF(H9&lt;=0,0,IF(H9&lt;=0.02,0+(0.03-0)*(H9-0)/(0.02-0),IF(H9&lt;=0.05,0.03+(0.1-0.03)*(H9-0.02)/(0.05-0.02),IF(H9&lt;=0.15,0.1+(0.25-0.1)*(H9-0.05)/(0.15-0.05),IF(H9&lt;=0.3,0.25+(0.45-0.25)*(H9-0.15)/(0.3-0.15),IF(H9&lt;=0.6,0.45+(0.65-0.45)*(H9-0.3)/(0.6-0.3),IF(H9&lt;=1,0.65+(0.8-0.65)*(H9-0.6)/(1-0.6),IF(H9&lt;=1.5,0.8+(0.95-0.8)*(H9-1)/(1.5-1),IF(H9&lt;=2,0.95+(1-0.95)*(H9-1.5)/(2-1.5),1)))))))))</x:f>
        <x:v>0</x:v>
      </x:c>
      <x:c r="J9" s="31" t="n">
        <x:f>I9*3811940.298507462*1.0</x:f>
        <x:v>0</x:v>
      </x:c>
      <x:c r="K9" s="31" t="n">
        <x:f>MAX(0,$A9-0.8)</x:f>
        <x:v>0</x:v>
      </x:c>
      <x:c r="L9" s="31" t="n">
        <x:f>IF(K9&lt;=0,0,IF(K9&lt;=0.02,0+(0.1-0)*(K9-0)/(0.02-0),IF(K9&lt;=0.05,0.1+(0.35-0.1)*(K9-0.02)/(0.05-0.02),IF(K9&lt;=0.15,0.35+(0.8-0.35)*(K9-0.05)/(0.15-0.05),IF(K9&lt;=0.3,0.8+(1-0.8)*(K9-0.15)/(0.3-0.15),IF(K9&lt;=0.6,1+(1-1)*(K9-0.3)/(0.6-0.3),IF(K9&lt;=1,1+(1-1)*(K9-0.6)/(1-0.6),IF(K9&lt;=1.5,1+(1-1)*(K9-1)/(1.5-1),IF(K9&lt;=2,1+(1-1)*(K9-1.5)/(2-1.5),1)))))))))</x:f>
        <x:v>0</x:v>
      </x:c>
      <x:c r="M9" s="31" t="n">
        <x:f>L9*682625.0*1.0</x:f>
        <x:v>0</x:v>
      </x:c>
      <x:c r="N9" s="31" t="n">
        <x:f>MAX(0,$A9-0.5)</x:f>
        <x:v>0</x:v>
      </x:c>
      <x:c r="O9" s="31" t="n">
        <x:f>IF(N9&lt;=0,0,IF(N9&lt;=0.02,0+(0.15-0)*(N9-0)/(0.02-0),IF(N9&lt;=0.05,0.15+(0.45-0.15)*(N9-0.02)/(0.05-0.02),IF(N9&lt;=0.15,0.45+(0.9-0.45)*(N9-0.05)/(0.15-0.05),IF(N9&lt;=0.3,0.9+(1-0.9)*(N9-0.15)/(0.3-0.15),IF(N9&lt;=0.6,1+(1-1)*(N9-0.3)/(0.6-0.3),IF(N9&lt;=1,1+(1-1)*(N9-0.6)/(1-0.6),IF(N9&lt;=1.5,1+(1-1)*(N9-1)/(1.5-1),IF(N9&lt;=2,1+(1-1)*(N9-1.5)/(2-1.5),1)))))))))</x:f>
        <x:v>0</x:v>
      </x:c>
      <x:c r="P9" s="31" t="n">
        <x:f>O9*131000.0*1.0</x:f>
        <x:v>0</x:v>
      </x:c>
      <x:c r="Q9" s="31" t="n">
        <x:f>MAX(0,$A9-0.0)</x:f>
        <x:v>0.4</x:v>
      </x:c>
      <x:c r="R9" s="31" t="n">
        <x:f>IF(Q9&lt;=0,0,IF(Q9&lt;=0.02,0+(0.02-0)*(Q9-0)/(0.02-0),IF(Q9&lt;=0.05,0.02+(0.05-0.02)*(Q9-0.02)/(0.05-0.02),IF(Q9&lt;=0.15,0.05+(0.1-0.05)*(Q9-0.05)/(0.15-0.05),IF(Q9&lt;=0.3,0.1+(0.15-0.1)*(Q9-0.15)/(0.3-0.15),IF(Q9&lt;=0.6,0.15+(0.25-0.15)*(Q9-0.3)/(0.6-0.3),IF(Q9&lt;=1,0.25+(0.4-0.25)*(Q9-0.6)/(1-0.6),IF(Q9&lt;=1.5,0.4+(0.55-0.4)*(Q9-1)/(1.5-1),IF(Q9&lt;=2,0.55+(0.65-0.55)*(Q9-1.5)/(2-1.5),0.65)))))))))</x:f>
        <x:v>0.18333333333333335</x:v>
      </x:c>
      <x:c r="S9" s="31" t="n">
        <x:f>R9*6932011.19402985*1.0</x:f>
        <x:v>1270868.7189054727</x:v>
      </x:c>
      <x:c r="T9" s="31" t="n">
        <x:f>MAX(0,$A9-1.0)</x:f>
        <x:v>0</x:v>
      </x:c>
      <x:c r="U9" s="31" t="n">
        <x:f>IF(T9&lt;=0,0,IF(T9&lt;=0.02,0+(0.05-0)*(T9-0)/(0.02-0),IF(T9&lt;=0.05,0.05+(0.1-0.05)*(T9-0.02)/(0.05-0.02),IF(T9&lt;=0.15,0.1+(0.3-0.1)*(T9-0.05)/(0.15-0.05),IF(T9&lt;=0.3,0.3+(0.6-0.3)*(T9-0.15)/(0.3-0.15),IF(T9&lt;=0.6,0.6+(0.85-0.6)*(T9-0.3)/(0.6-0.3),IF(T9&lt;=1,0.85+(1-0.85)*(T9-0.6)/(1-0.6),IF(T9&lt;=1.5,1+(1-1)*(T9-1)/(1.5-1),IF(T9&lt;=2,1+(1-1)*(T9-1.5)/(2-1.5),1)))))))))</x:f>
        <x:v>0</x:v>
      </x:c>
      <x:c r="V9" s="31" t="n">
        <x:f>U9*29121485.143992487*1.0</x:f>
        <x:v>0</x:v>
      </x:c>
      <x:c r="W9" s="31" t="n">
        <x:f>SUM(D9,G9,J9,M9,P9,S9,V9)</x:f>
        <x:v>2078527.8791647833</x:v>
      </x:c>
      <x:c r="X9" s="31" t="n">
        <x:f>W9/87779570.23626667</x:f>
        <x:v>0.023678948000887188</x:v>
      </x:c>
      <x:c r="Y9" s="31" t="n">
        <x:f>W9/112000000</x:f>
        <x:v>0.018558284635399852</x:v>
      </x:c>
    </x:row>
    <x:row r="10" ht="15" hidden="0" customHeight="1">
      <x:c r="A10" s="31" t="n">
        <x:v>0.5</x:v>
      </x:c>
      <x:c r="B10" s="31" t="n">
        <x:f>MAX(0,$A10-0.35)</x:f>
        <x:v>0.15000000000000002</x:v>
      </x:c>
      <x:c r="C10" s="31" t="n">
        <x:f>IF(B10&lt;=0,0,IF(B10&lt;=0.02,0+(0.05-0)*(B10-0)/(0.02-0),IF(B10&lt;=0.05,0.05+(0.25-0.05)*(B10-0.02)/(0.05-0.02),IF(B10&lt;=0.15,0.25+(0.75-0.25)*(B10-0.05)/(0.15-0.05),IF(B10&lt;=0.3,0.75+(0.95-0.75)*(B10-0.15)/(0.3-0.15),IF(B10&lt;=0.6,0.95+(1-0.95)*(B10-0.3)/(0.6-0.3),IF(B10&lt;=1,1+(1-1)*(B10-0.6)/(1-0.6),IF(B10&lt;=1.5,1+(1-1)*(B10-1)/(1.5-1),IF(B10&lt;=2,1+(1-1)*(B10-1.5)/(2-1.5),1)))))))))</x:f>
        <x:v>0.7500000000000001</x:v>
      </x:c>
      <x:c r="D10" s="31" t="n">
        <x:f>C10*3230636.6410372383*1.0</x:f>
        <x:v>2422977.480777929</x:v>
      </x:c>
      <x:c r="E10" s="31" t="n">
        <x:f>MAX(0,$A10-0.4)</x:f>
        <x:v>0.09999999999999998</x:v>
      </x:c>
      <x:c r="F10" s="31" t="n">
        <x:f>IF(E10&lt;=0,0,IF(E10&lt;=0.02,0+(0.1-0)*(E10-0)/(0.02-0),IF(E10&lt;=0.05,0.1+(0.4-0.1)*(E10-0.02)/(0.05-0.02),IF(E10&lt;=0.15,0.4+(0.85-0.4)*(E10-0.05)/(0.15-0.05),IF(E10&lt;=0.3,0.85+(1-0.85)*(E10-0.15)/(0.3-0.15),IF(E10&lt;=0.6,1+(1-1)*(E10-0.3)/(0.6-0.3),IF(E10&lt;=1,1+(1-1)*(E10-0.6)/(1-0.6),IF(E10&lt;=1.5,1+(1-1)*(E10-1)/(1.5-1),IF(E10&lt;=2,1+(1-1)*(E10-1.5)/(2-1.5),1)))))))))</x:f>
        <x:v>0.6249999999999999</x:v>
      </x:c>
      <x:c r="G10" s="31" t="n">
        <x:f>F10*6838526.119402986*1.0</x:f>
        <x:v>4274078.824626866</x:v>
      </x:c>
      <x:c r="H10" s="31" t="n">
        <x:f>MAX(0,$A10-0.45)</x:f>
        <x:v>0.04999999999999999</x:v>
      </x:c>
      <x:c r="I10" s="31" t="n">
        <x:f>IF(H10&lt;=0,0,IF(H10&lt;=0.02,0+(0.03-0)*(H10-0)/(0.02-0),IF(H10&lt;=0.05,0.03+(0.1-0.03)*(H10-0.02)/(0.05-0.02),IF(H10&lt;=0.15,0.1+(0.25-0.1)*(H10-0.05)/(0.15-0.05),IF(H10&lt;=0.3,0.25+(0.45-0.25)*(H10-0.15)/(0.3-0.15),IF(H10&lt;=0.6,0.45+(0.65-0.45)*(H10-0.3)/(0.6-0.3),IF(H10&lt;=1,0.65+(0.8-0.65)*(H10-0.6)/(1-0.6),IF(H10&lt;=1.5,0.8+(0.95-0.8)*(H10-1)/(1.5-1),IF(H10&lt;=2,0.95+(1-0.95)*(H10-1.5)/(2-1.5),1)))))))))</x:f>
        <x:v>0.09999999999999998</x:v>
      </x:c>
      <x:c r="J10" s="31" t="n">
        <x:f>I10*3811940.298507462*1.0</x:f>
        <x:v>381194.0298507461</x:v>
      </x:c>
      <x:c r="K10" s="31" t="n">
        <x:f>MAX(0,$A10-0.8)</x:f>
        <x:v>0</x:v>
      </x:c>
      <x:c r="L10" s="31" t="n">
        <x:f>IF(K10&lt;=0,0,IF(K10&lt;=0.02,0+(0.1-0)*(K10-0)/(0.02-0),IF(K10&lt;=0.05,0.1+(0.35-0.1)*(K10-0.02)/(0.05-0.02),IF(K10&lt;=0.15,0.35+(0.8-0.35)*(K10-0.05)/(0.15-0.05),IF(K10&lt;=0.3,0.8+(1-0.8)*(K10-0.15)/(0.3-0.15),IF(K10&lt;=0.6,1+(1-1)*(K10-0.3)/(0.6-0.3),IF(K10&lt;=1,1+(1-1)*(K10-0.6)/(1-0.6),IF(K10&lt;=1.5,1+(1-1)*(K10-1)/(1.5-1),IF(K10&lt;=2,1+(1-1)*(K10-1.5)/(2-1.5),1)))))))))</x:f>
        <x:v>0</x:v>
      </x:c>
      <x:c r="M10" s="31" t="n">
        <x:f>L10*682625.0*1.0</x:f>
        <x:v>0</x:v>
      </x:c>
      <x:c r="N10" s="31" t="n">
        <x:f>MAX(0,$A10-0.5)</x:f>
        <x:v>0</x:v>
      </x:c>
      <x:c r="O10" s="31" t="n">
        <x:f>IF(N10&lt;=0,0,IF(N10&lt;=0.02,0+(0.15-0)*(N10-0)/(0.02-0),IF(N10&lt;=0.05,0.15+(0.45-0.15)*(N10-0.02)/(0.05-0.02),IF(N10&lt;=0.15,0.45+(0.9-0.45)*(N10-0.05)/(0.15-0.05),IF(N10&lt;=0.3,0.9+(1-0.9)*(N10-0.15)/(0.3-0.15),IF(N10&lt;=0.6,1+(1-1)*(N10-0.3)/(0.6-0.3),IF(N10&lt;=1,1+(1-1)*(N10-0.6)/(1-0.6),IF(N10&lt;=1.5,1+(1-1)*(N10-1)/(1.5-1),IF(N10&lt;=2,1+(1-1)*(N10-1.5)/(2-1.5),1)))))))))</x:f>
        <x:v>0</x:v>
      </x:c>
      <x:c r="P10" s="31" t="n">
        <x:f>O10*131000.0*1.0</x:f>
        <x:v>0</x:v>
      </x:c>
      <x:c r="Q10" s="31" t="n">
        <x:f>MAX(0,$A10-0.0)</x:f>
        <x:v>0.5</x:v>
      </x:c>
      <x:c r="R10" s="31" t="n">
        <x:f>IF(Q10&lt;=0,0,IF(Q10&lt;=0.02,0+(0.02-0)*(Q10-0)/(0.02-0),IF(Q10&lt;=0.05,0.02+(0.05-0.02)*(Q10-0.02)/(0.05-0.02),IF(Q10&lt;=0.15,0.05+(0.1-0.05)*(Q10-0.05)/(0.15-0.05),IF(Q10&lt;=0.3,0.1+(0.15-0.1)*(Q10-0.15)/(0.3-0.15),IF(Q10&lt;=0.6,0.15+(0.25-0.15)*(Q10-0.3)/(0.6-0.3),IF(Q10&lt;=1,0.25+(0.4-0.25)*(Q10-0.6)/(1-0.6),IF(Q10&lt;=1.5,0.4+(0.55-0.4)*(Q10-1)/(1.5-1),IF(Q10&lt;=2,0.55+(0.65-0.55)*(Q10-1.5)/(2-1.5),0.65)))))))))</x:f>
        <x:v>0.21666666666666667</x:v>
      </x:c>
      <x:c r="S10" s="31" t="n">
        <x:f>R10*6932011.19402985*1.0</x:f>
        <x:v>1501935.7587064675</x:v>
      </x:c>
      <x:c r="T10" s="31" t="n">
        <x:f>MAX(0,$A10-1.0)</x:f>
        <x:v>0</x:v>
      </x:c>
      <x:c r="U10" s="31" t="n">
        <x:f>IF(T10&lt;=0,0,IF(T10&lt;=0.02,0+(0.05-0)*(T10-0)/(0.02-0),IF(T10&lt;=0.05,0.05+(0.1-0.05)*(T10-0.02)/(0.05-0.02),IF(T10&lt;=0.15,0.1+(0.3-0.1)*(T10-0.05)/(0.15-0.05),IF(T10&lt;=0.3,0.3+(0.6-0.3)*(T10-0.15)/(0.3-0.15),IF(T10&lt;=0.6,0.6+(0.85-0.6)*(T10-0.3)/(0.6-0.3),IF(T10&lt;=1,0.85+(1-0.85)*(T10-0.6)/(1-0.6),IF(T10&lt;=1.5,1+(1-1)*(T10-1)/(1.5-1),IF(T10&lt;=2,1+(1-1)*(T10-1.5)/(2-1.5),1)))))))))</x:f>
        <x:v>0</x:v>
      </x:c>
      <x:c r="V10" s="31" t="n">
        <x:f>U10*29121485.143992487*1.0</x:f>
        <x:v>0</x:v>
      </x:c>
      <x:c r="W10" s="31" t="n">
        <x:f>SUM(D10,G10,J10,M10,P10,S10,V10)</x:f>
        <x:v>8580186.09396201</x:v>
      </x:c>
      <x:c r="X10" s="31" t="n">
        <x:f>W10/87779570.23626667</x:f>
        <x:v>0.09774695946753512</x:v>
      </x:c>
      <x:c r="Y10" s="31" t="n">
        <x:f>W10/112000000</x:f>
        <x:v>0.07660880441037508</x:v>
      </x:c>
    </x:row>
    <x:row r="11" ht="15" hidden="0" customHeight="1">
      <x:c r="A11" s="31" t="n">
        <x:v>0.6</x:v>
      </x:c>
      <x:c r="B11" s="31" t="n">
        <x:f>MAX(0,$A11-0.35)</x:f>
        <x:v>0.25</x:v>
      </x:c>
      <x:c r="C11" s="31" t="n">
        <x:f>IF(B11&lt;=0,0,IF(B11&lt;=0.02,0+(0.05-0)*(B11-0)/(0.02-0),IF(B11&lt;=0.05,0.05+(0.25-0.05)*(B11-0.02)/(0.05-0.02),IF(B11&lt;=0.15,0.25+(0.75-0.25)*(B11-0.05)/(0.15-0.05),IF(B11&lt;=0.3,0.75+(0.95-0.75)*(B11-0.15)/(0.3-0.15),IF(B11&lt;=0.6,0.95+(1-0.95)*(B11-0.3)/(0.6-0.3),IF(B11&lt;=1,1+(1-1)*(B11-0.6)/(1-0.6),IF(B11&lt;=1.5,1+(1-1)*(B11-1)/(1.5-1),IF(B11&lt;=2,1+(1-1)*(B11-1.5)/(2-1.5),1)))))))))</x:f>
        <x:v>0.8833333333333333</x:v>
      </x:c>
      <x:c r="D11" s="31" t="n">
        <x:f>C11*3230636.6410372383*1.0</x:f>
        <x:v>2853729.032916227</x:v>
      </x:c>
      <x:c r="E11" s="31" t="n">
        <x:f>MAX(0,$A11-0.4)</x:f>
        <x:v>0.19999999999999996</x:v>
      </x:c>
      <x:c r="F11" s="31" t="n">
        <x:f>IF(E11&lt;=0,0,IF(E11&lt;=0.02,0+(0.1-0)*(E11-0)/(0.02-0),IF(E11&lt;=0.05,0.1+(0.4-0.1)*(E11-0.02)/(0.05-0.02),IF(E11&lt;=0.15,0.4+(0.85-0.4)*(E11-0.05)/(0.15-0.05),IF(E11&lt;=0.3,0.85+(1-0.85)*(E11-0.15)/(0.3-0.15),IF(E11&lt;=0.6,1+(1-1)*(E11-0.3)/(0.6-0.3),IF(E11&lt;=1,1+(1-1)*(E11-0.6)/(1-0.6),IF(E11&lt;=1.5,1+(1-1)*(E11-1)/(1.5-1),IF(E11&lt;=2,1+(1-1)*(E11-1.5)/(2-1.5),1)))))))))</x:f>
        <x:v>0.8999999999999999</x:v>
      </x:c>
      <x:c r="G11" s="31" t="n">
        <x:f>F11*6838526.119402986*1.0</x:f>
        <x:v>6154673.507462687</x:v>
      </x:c>
      <x:c r="H11" s="31" t="n">
        <x:f>MAX(0,$A11-0.45)</x:f>
        <x:v>0.14999999999999997</x:v>
      </x:c>
      <x:c r="I11" s="31" t="n">
        <x:f>IF(H11&lt;=0,0,IF(H11&lt;=0.02,0+(0.03-0)*(H11-0)/(0.02-0),IF(H11&lt;=0.05,0.03+(0.1-0.03)*(H11-0.02)/(0.05-0.02),IF(H11&lt;=0.15,0.1+(0.25-0.1)*(H11-0.05)/(0.15-0.05),IF(H11&lt;=0.3,0.25+(0.45-0.25)*(H11-0.15)/(0.3-0.15),IF(H11&lt;=0.6,0.45+(0.65-0.45)*(H11-0.3)/(0.6-0.3),IF(H11&lt;=1,0.65+(0.8-0.65)*(H11-0.6)/(1-0.6),IF(H11&lt;=1.5,0.8+(0.95-0.8)*(H11-1)/(1.5-1),IF(H11&lt;=2,0.95+(1-0.95)*(H11-1.5)/(2-1.5),1)))))))))</x:f>
        <x:v>0.24999999999999997</x:v>
      </x:c>
      <x:c r="J11" s="31" t="n">
        <x:f>I11*3811940.298507462*1.0</x:f>
        <x:v>952985.0746268653</x:v>
      </x:c>
      <x:c r="K11" s="31" t="n">
        <x:f>MAX(0,$A11-0.8)</x:f>
        <x:v>0</x:v>
      </x:c>
      <x:c r="L11" s="31" t="n">
        <x:f>IF(K11&lt;=0,0,IF(K11&lt;=0.02,0+(0.1-0)*(K11-0)/(0.02-0),IF(K11&lt;=0.05,0.1+(0.35-0.1)*(K11-0.02)/(0.05-0.02),IF(K11&lt;=0.15,0.35+(0.8-0.35)*(K11-0.05)/(0.15-0.05),IF(K11&lt;=0.3,0.8+(1-0.8)*(K11-0.15)/(0.3-0.15),IF(K11&lt;=0.6,1+(1-1)*(K11-0.3)/(0.6-0.3),IF(K11&lt;=1,1+(1-1)*(K11-0.6)/(1-0.6),IF(K11&lt;=1.5,1+(1-1)*(K11-1)/(1.5-1),IF(K11&lt;=2,1+(1-1)*(K11-1.5)/(2-1.5),1)))))))))</x:f>
        <x:v>0</x:v>
      </x:c>
      <x:c r="M11" s="31" t="n">
        <x:f>L11*682625.0*1.0</x:f>
        <x:v>0</x:v>
      </x:c>
      <x:c r="N11" s="31" t="n">
        <x:f>MAX(0,$A11-0.5)</x:f>
        <x:v>0.09999999999999998</x:v>
      </x:c>
      <x:c r="O11" s="31" t="n">
        <x:f>IF(N11&lt;=0,0,IF(N11&lt;=0.02,0+(0.15-0)*(N11-0)/(0.02-0),IF(N11&lt;=0.05,0.15+(0.45-0.15)*(N11-0.02)/(0.05-0.02),IF(N11&lt;=0.15,0.45+(0.9-0.45)*(N11-0.05)/(0.15-0.05),IF(N11&lt;=0.3,0.9+(1-0.9)*(N11-0.15)/(0.3-0.15),IF(N11&lt;=0.6,1+(1-1)*(N11-0.3)/(0.6-0.3),IF(N11&lt;=1,1+(1-1)*(N11-0.6)/(1-0.6),IF(N11&lt;=1.5,1+(1-1)*(N11-1)/(1.5-1),IF(N11&lt;=2,1+(1-1)*(N11-1.5)/(2-1.5),1)))))))))</x:f>
        <x:v>0.6749999999999999</x:v>
      </x:c>
      <x:c r="P11" s="31" t="n">
        <x:f>O11*131000.0*1.0</x:f>
        <x:v>88424.99999999999</x:v>
      </x:c>
      <x:c r="Q11" s="31" t="n">
        <x:f>MAX(0,$A11-0.0)</x:f>
        <x:v>0.6</x:v>
      </x:c>
      <x:c r="R11" s="31" t="n">
        <x:f>IF(Q11&lt;=0,0,IF(Q11&lt;=0.02,0+(0.02-0)*(Q11-0)/(0.02-0),IF(Q11&lt;=0.05,0.02+(0.05-0.02)*(Q11-0.02)/(0.05-0.02),IF(Q11&lt;=0.15,0.05+(0.1-0.05)*(Q11-0.05)/(0.15-0.05),IF(Q11&lt;=0.3,0.1+(0.15-0.1)*(Q11-0.15)/(0.3-0.15),IF(Q11&lt;=0.6,0.15+(0.25-0.15)*(Q11-0.3)/(0.6-0.3),IF(Q11&lt;=1,0.25+(0.4-0.25)*(Q11-0.6)/(1-0.6),IF(Q11&lt;=1.5,0.4+(0.55-0.4)*(Q11-1)/(1.5-1),IF(Q11&lt;=2,0.55+(0.65-0.55)*(Q11-1.5)/(2-1.5),0.65)))))))))</x:f>
        <x:v>0.25</x:v>
      </x:c>
      <x:c r="S11" s="31" t="n">
        <x:f>R11*6932011.19402985*1.0</x:f>
        <x:v>1733002.7985074625</x:v>
      </x:c>
      <x:c r="T11" s="31" t="n">
        <x:f>MAX(0,$A11-1.0)</x:f>
        <x:v>0</x:v>
      </x:c>
      <x:c r="U11" s="31" t="n">
        <x:f>IF(T11&lt;=0,0,IF(T11&lt;=0.02,0+(0.05-0)*(T11-0)/(0.02-0),IF(T11&lt;=0.05,0.05+(0.1-0.05)*(T11-0.02)/(0.05-0.02),IF(T11&lt;=0.15,0.1+(0.3-0.1)*(T11-0.05)/(0.15-0.05),IF(T11&lt;=0.3,0.3+(0.6-0.3)*(T11-0.15)/(0.3-0.15),IF(T11&lt;=0.6,0.6+(0.85-0.6)*(T11-0.3)/(0.6-0.3),IF(T11&lt;=1,0.85+(1-0.85)*(T11-0.6)/(1-0.6),IF(T11&lt;=1.5,1+(1-1)*(T11-1)/(1.5-1),IF(T11&lt;=2,1+(1-1)*(T11-1.5)/(2-1.5),1)))))))))</x:f>
        <x:v>0</x:v>
      </x:c>
      <x:c r="V11" s="31" t="n">
        <x:f>U11*29121485.143992487*1.0</x:f>
        <x:v>0</x:v>
      </x:c>
      <x:c r="W11" s="31" t="n">
        <x:f>SUM(D11,G11,J11,M11,P11,S11,V11)</x:f>
        <x:v>11782815.413513241</x:v>
      </x:c>
      <x:c r="X11" s="31" t="n">
        <x:f>W11/87779570.23626667</x:f>
        <x:v>0.1342318649065919</x:v>
      </x:c>
      <x:c r="Y11" s="31" t="n">
        <x:f>W11/112000000</x:f>
        <x:v>0.10520370904922537</x:v>
      </x:c>
    </x:row>
    <x:row r="12" ht="15" hidden="0" customHeight="1">
      <x:c r="A12" s="31" t="n">
        <x:v>0.7</x:v>
      </x:c>
      <x:c r="B12" s="31" t="n">
        <x:f>MAX(0,$A12-0.35)</x:f>
        <x:v>0.35</x:v>
      </x:c>
      <x:c r="C12" s="31" t="n">
        <x:f>IF(B12&lt;=0,0,IF(B12&lt;=0.02,0+(0.05-0)*(B12-0)/(0.02-0),IF(B12&lt;=0.05,0.05+(0.25-0.05)*(B12-0.02)/(0.05-0.02),IF(B12&lt;=0.15,0.25+(0.75-0.25)*(B12-0.05)/(0.15-0.05),IF(B12&lt;=0.3,0.75+(0.95-0.75)*(B12-0.15)/(0.3-0.15),IF(B12&lt;=0.6,0.95+(1-0.95)*(B12-0.3)/(0.6-0.3),IF(B12&lt;=1,1+(1-1)*(B12-0.6)/(1-0.6),IF(B12&lt;=1.5,1+(1-1)*(B12-1)/(1.5-1),IF(B12&lt;=2,1+(1-1)*(B12-1.5)/(2-1.5),1)))))))))</x:f>
        <x:v>0.9583333333333333</x:v>
      </x:c>
      <x:c r="D12" s="31" t="n">
        <x:f>C12*3230636.6410372383*1.0</x:f>
        <x:v>3096026.78099402</x:v>
      </x:c>
      <x:c r="E12" s="31" t="n">
        <x:f>MAX(0,$A12-0.4)</x:f>
        <x:v>0.29999999999999993</x:v>
      </x:c>
      <x:c r="F12" s="31" t="n">
        <x:f>IF(E12&lt;=0,0,IF(E12&lt;=0.02,0+(0.1-0)*(E12-0)/(0.02-0),IF(E12&lt;=0.05,0.1+(0.4-0.1)*(E12-0.02)/(0.05-0.02),IF(E12&lt;=0.15,0.4+(0.85-0.4)*(E12-0.05)/(0.15-0.05),IF(E12&lt;=0.3,0.85+(1-0.85)*(E12-0.15)/(0.3-0.15),IF(E12&lt;=0.6,1+(1-1)*(E12-0.3)/(0.6-0.3),IF(E12&lt;=1,1+(1-1)*(E12-0.6)/(1-0.6),IF(E12&lt;=1.5,1+(1-1)*(E12-1)/(1.5-1),IF(E12&lt;=2,1+(1-1)*(E12-1.5)/(2-1.5),1)))))))))</x:f>
        <x:v>1</x:v>
      </x:c>
      <x:c r="G12" s="31" t="n">
        <x:f>F12*6838526.119402986*1.0</x:f>
        <x:v>6838526.119402986</x:v>
      </x:c>
      <x:c r="H12" s="31" t="n">
        <x:f>MAX(0,$A12-0.45)</x:f>
        <x:v>0.24999999999999994</x:v>
      </x:c>
      <x:c r="I12" s="31" t="n">
        <x:f>IF(H12&lt;=0,0,IF(H12&lt;=0.02,0+(0.03-0)*(H12-0)/(0.02-0),IF(H12&lt;=0.05,0.03+(0.1-0.03)*(H12-0.02)/(0.05-0.02),IF(H12&lt;=0.15,0.1+(0.25-0.1)*(H12-0.05)/(0.15-0.05),IF(H12&lt;=0.3,0.25+(0.45-0.25)*(H12-0.15)/(0.3-0.15),IF(H12&lt;=0.6,0.45+(0.65-0.45)*(H12-0.3)/(0.6-0.3),IF(H12&lt;=1,0.65+(0.8-0.65)*(H12-0.6)/(1-0.6),IF(H12&lt;=1.5,0.8+(0.95-0.8)*(H12-1)/(1.5-1),IF(H12&lt;=2,0.95+(1-0.95)*(H12-1.5)/(2-1.5),1)))))))))</x:f>
        <x:v>0.3833333333333333</x:v>
      </x:c>
      <x:c r="J12" s="31" t="n">
        <x:f>I12*3811940.298507462*1.0</x:f>
        <x:v>1461243.7810945269</x:v>
      </x:c>
      <x:c r="K12" s="31" t="n">
        <x:f>MAX(0,$A12-0.8)</x:f>
        <x:v>0</x:v>
      </x:c>
      <x:c r="L12" s="31" t="n">
        <x:f>IF(K12&lt;=0,0,IF(K12&lt;=0.02,0+(0.1-0)*(K12-0)/(0.02-0),IF(K12&lt;=0.05,0.1+(0.35-0.1)*(K12-0.02)/(0.05-0.02),IF(K12&lt;=0.15,0.35+(0.8-0.35)*(K12-0.05)/(0.15-0.05),IF(K12&lt;=0.3,0.8+(1-0.8)*(K12-0.15)/(0.3-0.15),IF(K12&lt;=0.6,1+(1-1)*(K12-0.3)/(0.6-0.3),IF(K12&lt;=1,1+(1-1)*(K12-0.6)/(1-0.6),IF(K12&lt;=1.5,1+(1-1)*(K12-1)/(1.5-1),IF(K12&lt;=2,1+(1-1)*(K12-1.5)/(2-1.5),1)))))))))</x:f>
        <x:v>0</x:v>
      </x:c>
      <x:c r="M12" s="31" t="n">
        <x:f>L12*682625.0*1.0</x:f>
        <x:v>0</x:v>
      </x:c>
      <x:c r="N12" s="31" t="n">
        <x:f>MAX(0,$A12-0.5)</x:f>
        <x:v>0.19999999999999996</x:v>
      </x:c>
      <x:c r="O12" s="31" t="n">
        <x:f>IF(N12&lt;=0,0,IF(N12&lt;=0.02,0+(0.15-0)*(N12-0)/(0.02-0),IF(N12&lt;=0.05,0.15+(0.45-0.15)*(N12-0.02)/(0.05-0.02),IF(N12&lt;=0.15,0.45+(0.9-0.45)*(N12-0.05)/(0.15-0.05),IF(N12&lt;=0.3,0.9+(1-0.9)*(N12-0.15)/(0.3-0.15),IF(N12&lt;=0.6,1+(1-1)*(N12-0.3)/(0.6-0.3),IF(N12&lt;=1,1+(1-1)*(N12-0.6)/(1-0.6),IF(N12&lt;=1.5,1+(1-1)*(N12-1)/(1.5-1),IF(N12&lt;=2,1+(1-1)*(N12-1.5)/(2-1.5),1)))))))))</x:f>
        <x:v>0.9333333333333333</x:v>
      </x:c>
      <x:c r="P12" s="31" t="n">
        <x:f>O12*131000.0*1.0</x:f>
        <x:v>122266.66666666667</x:v>
      </x:c>
      <x:c r="Q12" s="31" t="n">
        <x:f>MAX(0,$A12-0.0)</x:f>
        <x:v>0.7</x:v>
      </x:c>
      <x:c r="R12" s="31" t="n">
        <x:f>IF(Q12&lt;=0,0,IF(Q12&lt;=0.02,0+(0.02-0)*(Q12-0)/(0.02-0),IF(Q12&lt;=0.05,0.02+(0.05-0.02)*(Q12-0.02)/(0.05-0.02),IF(Q12&lt;=0.15,0.05+(0.1-0.05)*(Q12-0.05)/(0.15-0.05),IF(Q12&lt;=0.3,0.1+(0.15-0.1)*(Q12-0.15)/(0.3-0.15),IF(Q12&lt;=0.6,0.15+(0.25-0.15)*(Q12-0.3)/(0.6-0.3),IF(Q12&lt;=1,0.25+(0.4-0.25)*(Q12-0.6)/(1-0.6),IF(Q12&lt;=1.5,0.4+(0.55-0.4)*(Q12-1)/(1.5-1),IF(Q12&lt;=2,0.55+(0.65-0.55)*(Q12-1.5)/(2-1.5),0.65)))))))))</x:f>
        <x:v>0.2875</x:v>
      </x:c>
      <x:c r="S12" s="31" t="n">
        <x:f>R12*6932011.19402985*1.0</x:f>
        <x:v>1992953.2182835818</x:v>
      </x:c>
      <x:c r="T12" s="31" t="n">
        <x:f>MAX(0,$A12-1.0)</x:f>
        <x:v>0</x:v>
      </x:c>
      <x:c r="U12" s="31" t="n">
        <x:f>IF(T12&lt;=0,0,IF(T12&lt;=0.02,0+(0.05-0)*(T12-0)/(0.02-0),IF(T12&lt;=0.05,0.05+(0.1-0.05)*(T12-0.02)/(0.05-0.02),IF(T12&lt;=0.15,0.1+(0.3-0.1)*(T12-0.05)/(0.15-0.05),IF(T12&lt;=0.3,0.3+(0.6-0.3)*(T12-0.15)/(0.3-0.15),IF(T12&lt;=0.6,0.6+(0.85-0.6)*(T12-0.3)/(0.6-0.3),IF(T12&lt;=1,0.85+(1-0.85)*(T12-0.6)/(1-0.6),IF(T12&lt;=1.5,1+(1-1)*(T12-1)/(1.5-1),IF(T12&lt;=2,1+(1-1)*(T12-1.5)/(2-1.5),1)))))))))</x:f>
        <x:v>0</x:v>
      </x:c>
      <x:c r="V12" s="31" t="n">
        <x:f>U12*29121485.143992487*1.0</x:f>
        <x:v>0</x:v>
      </x:c>
      <x:c r="W12" s="31" t="n">
        <x:f>SUM(D12,G12,J12,M12,P12,S12,V12)</x:f>
        <x:v>13511016.566441782</x:v>
      </x:c>
      <x:c r="X12" s="31" t="n">
        <x:f>W12/87779570.23626667</x:f>
        <x:v>0.1539198304352101</x:v>
      </x:c>
      <x:c r="Y12" s="31" t="n">
        <x:f>W12/112000000</x:f>
        <x:v>0.12063407648608734</x:v>
      </x:c>
    </x:row>
    <x:row r="13" ht="15" hidden="0" customHeight="1">
      <x:c r="A13" s="31" t="n">
        <x:v>0.8</x:v>
      </x:c>
      <x:c r="B13" s="31" t="n">
        <x:f>MAX(0,$A13-0.35)</x:f>
        <x:v>0.45000000000000007</x:v>
      </x:c>
      <x:c r="C13" s="31" t="n">
        <x:f>IF(B13&lt;=0,0,IF(B13&lt;=0.02,0+(0.05-0)*(B13-0)/(0.02-0),IF(B13&lt;=0.05,0.05+(0.25-0.05)*(B13-0.02)/(0.05-0.02),IF(B13&lt;=0.15,0.25+(0.75-0.25)*(B13-0.05)/(0.15-0.05),IF(B13&lt;=0.3,0.75+(0.95-0.75)*(B13-0.15)/(0.3-0.15),IF(B13&lt;=0.6,0.95+(1-0.95)*(B13-0.3)/(0.6-0.3),IF(B13&lt;=1,1+(1-1)*(B13-0.6)/(1-0.6),IF(B13&lt;=1.5,1+(1-1)*(B13-1)/(1.5-1),IF(B13&lt;=2,1+(1-1)*(B13-1.5)/(2-1.5),1)))))))))</x:f>
        <x:v>0.975</x:v>
      </x:c>
      <x:c r="D13" s="31" t="n">
        <x:f>C13*3230636.6410372383*1.0</x:f>
        <x:v>3149870.7250113073</x:v>
      </x:c>
      <x:c r="E13" s="31" t="n">
        <x:f>MAX(0,$A13-0.4)</x:f>
        <x:v>0.4</x:v>
      </x:c>
      <x:c r="F13" s="31" t="n">
        <x:f>IF(E13&lt;=0,0,IF(E13&lt;=0.02,0+(0.1-0)*(E13-0)/(0.02-0),IF(E13&lt;=0.05,0.1+(0.4-0.1)*(E13-0.02)/(0.05-0.02),IF(E13&lt;=0.15,0.4+(0.85-0.4)*(E13-0.05)/(0.15-0.05),IF(E13&lt;=0.3,0.85+(1-0.85)*(E13-0.15)/(0.3-0.15),IF(E13&lt;=0.6,1+(1-1)*(E13-0.3)/(0.6-0.3),IF(E13&lt;=1,1+(1-1)*(E13-0.6)/(1-0.6),IF(E13&lt;=1.5,1+(1-1)*(E13-1)/(1.5-1),IF(E13&lt;=2,1+(1-1)*(E13-1.5)/(2-1.5),1)))))))))</x:f>
        <x:v>1</x:v>
      </x:c>
      <x:c r="G13" s="31" t="n">
        <x:f>F13*6838526.119402986*1.0</x:f>
        <x:v>6838526.119402986</x:v>
      </x:c>
      <x:c r="H13" s="31" t="n">
        <x:f>MAX(0,$A13-0.45)</x:f>
        <x:v>0.35000000000000003</x:v>
      </x:c>
      <x:c r="I13" s="31" t="n">
        <x:f>IF(H13&lt;=0,0,IF(H13&lt;=0.02,0+(0.03-0)*(H13-0)/(0.02-0),IF(H13&lt;=0.05,0.03+(0.1-0.03)*(H13-0.02)/(0.05-0.02),IF(H13&lt;=0.15,0.1+(0.25-0.1)*(H13-0.05)/(0.15-0.05),IF(H13&lt;=0.3,0.25+(0.45-0.25)*(H13-0.15)/(0.3-0.15),IF(H13&lt;=0.6,0.45+(0.65-0.45)*(H13-0.3)/(0.6-0.3),IF(H13&lt;=1,0.65+(0.8-0.65)*(H13-0.6)/(1-0.6),IF(H13&lt;=1.5,0.8+(0.95-0.8)*(H13-1)/(1.5-1),IF(H13&lt;=2,0.95+(1-0.95)*(H13-1.5)/(2-1.5),1)))))))))</x:f>
        <x:v>0.4833333333333334</x:v>
      </x:c>
      <x:c r="J13" s="31" t="n">
        <x:f>I13*3811940.298507462*1.0</x:f>
        <x:v>1842437.8109452734</x:v>
      </x:c>
      <x:c r="K13" s="31" t="n">
        <x:f>MAX(0,$A13-0.8)</x:f>
        <x:v>0</x:v>
      </x:c>
      <x:c r="L13" s="31" t="n">
        <x:f>IF(K13&lt;=0,0,IF(K13&lt;=0.02,0+(0.1-0)*(K13-0)/(0.02-0),IF(K13&lt;=0.05,0.1+(0.35-0.1)*(K13-0.02)/(0.05-0.02),IF(K13&lt;=0.15,0.35+(0.8-0.35)*(K13-0.05)/(0.15-0.05),IF(K13&lt;=0.3,0.8+(1-0.8)*(K13-0.15)/(0.3-0.15),IF(K13&lt;=0.6,1+(1-1)*(K13-0.3)/(0.6-0.3),IF(K13&lt;=1,1+(1-1)*(K13-0.6)/(1-0.6),IF(K13&lt;=1.5,1+(1-1)*(K13-1)/(1.5-1),IF(K13&lt;=2,1+(1-1)*(K13-1.5)/(2-1.5),1)))))))))</x:f>
        <x:v>0</x:v>
      </x:c>
      <x:c r="M13" s="31" t="n">
        <x:f>L13*682625.0*1.0</x:f>
        <x:v>0</x:v>
      </x:c>
      <x:c r="N13" s="31" t="n">
        <x:f>MAX(0,$A13-0.5)</x:f>
        <x:v>0.30000000000000004</x:v>
      </x:c>
      <x:c r="O13" s="31" t="n">
        <x:f>IF(N13&lt;=0,0,IF(N13&lt;=0.02,0+(0.15-0)*(N13-0)/(0.02-0),IF(N13&lt;=0.05,0.15+(0.45-0.15)*(N13-0.02)/(0.05-0.02),IF(N13&lt;=0.15,0.45+(0.9-0.45)*(N13-0.05)/(0.15-0.05),IF(N13&lt;=0.3,0.9+(1-0.9)*(N13-0.15)/(0.3-0.15),IF(N13&lt;=0.6,1+(1-1)*(N13-0.3)/(0.6-0.3),IF(N13&lt;=1,1+(1-1)*(N13-0.6)/(1-0.6),IF(N13&lt;=1.5,1+(1-1)*(N13-1)/(1.5-1),IF(N13&lt;=2,1+(1-1)*(N13-1.5)/(2-1.5),1)))))))))</x:f>
        <x:v>1</x:v>
      </x:c>
      <x:c r="P13" s="31" t="n">
        <x:f>O13*131000.0*1.0</x:f>
        <x:v>131000</x:v>
      </x:c>
      <x:c r="Q13" s="31" t="n">
        <x:f>MAX(0,$A13-0.0)</x:f>
        <x:v>0.8</x:v>
      </x:c>
      <x:c r="R13" s="31" t="n">
        <x:f>IF(Q13&lt;=0,0,IF(Q13&lt;=0.02,0+(0.02-0)*(Q13-0)/(0.02-0),IF(Q13&lt;=0.05,0.02+(0.05-0.02)*(Q13-0.02)/(0.05-0.02),IF(Q13&lt;=0.15,0.05+(0.1-0.05)*(Q13-0.05)/(0.15-0.05),IF(Q13&lt;=0.3,0.1+(0.15-0.1)*(Q13-0.15)/(0.3-0.15),IF(Q13&lt;=0.6,0.15+(0.25-0.15)*(Q13-0.3)/(0.6-0.3),IF(Q13&lt;=1,0.25+(0.4-0.25)*(Q13-0.6)/(1-0.6),IF(Q13&lt;=1.5,0.4+(0.55-0.4)*(Q13-1)/(1.5-1),IF(Q13&lt;=2,0.55+(0.65-0.55)*(Q13-1.5)/(2-1.5),0.65)))))))))</x:f>
        <x:v>0.325</x:v>
      </x:c>
      <x:c r="S13" s="31" t="n">
        <x:f>R13*6932011.19402985*1.0</x:f>
        <x:v>2252903.6380597013</x:v>
      </x:c>
      <x:c r="T13" s="31" t="n">
        <x:f>MAX(0,$A13-1.0)</x:f>
        <x:v>0</x:v>
      </x:c>
      <x:c r="U13" s="31" t="n">
        <x:f>IF(T13&lt;=0,0,IF(T13&lt;=0.02,0+(0.05-0)*(T13-0)/(0.02-0),IF(T13&lt;=0.05,0.05+(0.1-0.05)*(T13-0.02)/(0.05-0.02),IF(T13&lt;=0.15,0.1+(0.3-0.1)*(T13-0.05)/(0.15-0.05),IF(T13&lt;=0.3,0.3+(0.6-0.3)*(T13-0.15)/(0.3-0.15),IF(T13&lt;=0.6,0.6+(0.85-0.6)*(T13-0.3)/(0.6-0.3),IF(T13&lt;=1,0.85+(1-0.85)*(T13-0.6)/(1-0.6),IF(T13&lt;=1.5,1+(1-1)*(T13-1)/(1.5-1),IF(T13&lt;=2,1+(1-1)*(T13-1.5)/(2-1.5),1)))))))))</x:f>
        <x:v>0</x:v>
      </x:c>
      <x:c r="V13" s="31" t="n">
        <x:f>U13*29121485.143992487*1.0</x:f>
        <x:v>0</x:v>
      </x:c>
      <x:c r="W13" s="31" t="n">
        <x:f>SUM(D13,G13,J13,M13,P13,S13,V13)</x:f>
        <x:v>14214738.293419268</x:v>
      </x:c>
      <x:c r="X13" s="31" t="n">
        <x:f>W13/87779570.23626667</x:f>
        <x:v>0.16193674969197286</x:v>
      </x:c>
      <x:c r="Y13" s="31" t="n">
        <x:f>W13/112000000</x:f>
        <x:v>0.12691730619124347</x:v>
      </x:c>
    </x:row>
    <x:row r="14" ht="15" hidden="0" customHeight="1">
      <x:c r="A14" s="31" t="n">
        <x:v>0.9</x:v>
      </x:c>
      <x:c r="B14" s="31" t="n">
        <x:f>MAX(0,$A14-0.35)</x:f>
        <x:v>0.55</x:v>
      </x:c>
      <x:c r="C14" s="31" t="n">
        <x:f>IF(B14&lt;=0,0,IF(B14&lt;=0.02,0+(0.05-0)*(B14-0)/(0.02-0),IF(B14&lt;=0.05,0.05+(0.25-0.05)*(B14-0.02)/(0.05-0.02),IF(B14&lt;=0.15,0.25+(0.75-0.25)*(B14-0.05)/(0.15-0.05),IF(B14&lt;=0.3,0.75+(0.95-0.75)*(B14-0.15)/(0.3-0.15),IF(B14&lt;=0.6,0.95+(1-0.95)*(B14-0.3)/(0.6-0.3),IF(B14&lt;=1,1+(1-1)*(B14-0.6)/(1-0.6),IF(B14&lt;=1.5,1+(1-1)*(B14-1)/(1.5-1),IF(B14&lt;=2,1+(1-1)*(B14-1.5)/(2-1.5),1)))))))))</x:f>
        <x:v>0.9916666666666667</x:v>
      </x:c>
      <x:c r="D14" s="31" t="n">
        <x:f>C14*3230636.6410372383*1.0</x:f>
        <x:v>3203714.6690285946</x:v>
      </x:c>
      <x:c r="E14" s="31" t="n">
        <x:f>MAX(0,$A14-0.4)</x:f>
        <x:v>0.5</x:v>
      </x:c>
      <x:c r="F14" s="31" t="n">
        <x:f>IF(E14&lt;=0,0,IF(E14&lt;=0.02,0+(0.1-0)*(E14-0)/(0.02-0),IF(E14&lt;=0.05,0.1+(0.4-0.1)*(E14-0.02)/(0.05-0.02),IF(E14&lt;=0.15,0.4+(0.85-0.4)*(E14-0.05)/(0.15-0.05),IF(E14&lt;=0.3,0.85+(1-0.85)*(E14-0.15)/(0.3-0.15),IF(E14&lt;=0.6,1+(1-1)*(E14-0.3)/(0.6-0.3),IF(E14&lt;=1,1+(1-1)*(E14-0.6)/(1-0.6),IF(E14&lt;=1.5,1+(1-1)*(E14-1)/(1.5-1),IF(E14&lt;=2,1+(1-1)*(E14-1.5)/(2-1.5),1)))))))))</x:f>
        <x:v>1</x:v>
      </x:c>
      <x:c r="G14" s="31" t="n">
        <x:f>F14*6838526.119402986*1.0</x:f>
        <x:v>6838526.119402986</x:v>
      </x:c>
      <x:c r="H14" s="31" t="n">
        <x:f>MAX(0,$A14-0.45)</x:f>
        <x:v>0.45</x:v>
      </x:c>
      <x:c r="I14" s="31" t="n">
        <x:f>IF(H14&lt;=0,0,IF(H14&lt;=0.02,0+(0.03-0)*(H14-0)/(0.02-0),IF(H14&lt;=0.05,0.03+(0.1-0.03)*(H14-0.02)/(0.05-0.02),IF(H14&lt;=0.15,0.1+(0.25-0.1)*(H14-0.05)/(0.15-0.05),IF(H14&lt;=0.3,0.25+(0.45-0.25)*(H14-0.15)/(0.3-0.15),IF(H14&lt;=0.6,0.45+(0.65-0.45)*(H14-0.3)/(0.6-0.3),IF(H14&lt;=1,0.65+(0.8-0.65)*(H14-0.6)/(1-0.6),IF(H14&lt;=1.5,0.8+(0.95-0.8)*(H14-1)/(1.5-1),IF(H14&lt;=2,0.95+(1-0.95)*(H14-1.5)/(2-1.5),1)))))))))</x:f>
        <x:v>0.55</x:v>
      </x:c>
      <x:c r="J14" s="31" t="n">
        <x:f>I14*3811940.298507462*1.0</x:f>
        <x:v>2096567.1641791041</x:v>
      </x:c>
      <x:c r="K14" s="31" t="n">
        <x:f>MAX(0,$A14-0.8)</x:f>
        <x:v>0.09999999999999998</x:v>
      </x:c>
      <x:c r="L14" s="31" t="n">
        <x:f>IF(K14&lt;=0,0,IF(K14&lt;=0.02,0+(0.1-0)*(K14-0)/(0.02-0),IF(K14&lt;=0.05,0.1+(0.35-0.1)*(K14-0.02)/(0.05-0.02),IF(K14&lt;=0.15,0.35+(0.8-0.35)*(K14-0.05)/(0.15-0.05),IF(K14&lt;=0.3,0.8+(1-0.8)*(K14-0.15)/(0.3-0.15),IF(K14&lt;=0.6,1+(1-1)*(K14-0.3)/(0.6-0.3),IF(K14&lt;=1,1+(1-1)*(K14-0.6)/(1-0.6),IF(K14&lt;=1.5,1+(1-1)*(K14-1)/(1.5-1),IF(K14&lt;=2,1+(1-1)*(K14-1.5)/(2-1.5),1)))))))))</x:f>
        <x:v>0.575</x:v>
      </x:c>
      <x:c r="M14" s="31" t="n">
        <x:f>L14*682625.0*1.0</x:f>
        <x:v>392509.37499999994</x:v>
      </x:c>
      <x:c r="N14" s="31" t="n">
        <x:f>MAX(0,$A14-0.5)</x:f>
        <x:v>0.4</x:v>
      </x:c>
      <x:c r="O14" s="31" t="n">
        <x:f>IF(N14&lt;=0,0,IF(N14&lt;=0.02,0+(0.15-0)*(N14-0)/(0.02-0),IF(N14&lt;=0.05,0.15+(0.45-0.15)*(N14-0.02)/(0.05-0.02),IF(N14&lt;=0.15,0.45+(0.9-0.45)*(N14-0.05)/(0.15-0.05),IF(N14&lt;=0.3,0.9+(1-0.9)*(N14-0.15)/(0.3-0.15),IF(N14&lt;=0.6,1+(1-1)*(N14-0.3)/(0.6-0.3),IF(N14&lt;=1,1+(1-1)*(N14-0.6)/(1-0.6),IF(N14&lt;=1.5,1+(1-1)*(N14-1)/(1.5-1),IF(N14&lt;=2,1+(1-1)*(N14-1.5)/(2-1.5),1)))))))))</x:f>
        <x:v>1</x:v>
      </x:c>
      <x:c r="P14" s="31" t="n">
        <x:f>O14*131000.0*1.0</x:f>
        <x:v>131000</x:v>
      </x:c>
      <x:c r="Q14" s="31" t="n">
        <x:f>MAX(0,$A14-0.0)</x:f>
        <x:v>0.9</x:v>
      </x:c>
      <x:c r="R14" s="31" t="n">
        <x:f>IF(Q14&lt;=0,0,IF(Q14&lt;=0.02,0+(0.02-0)*(Q14-0)/(0.02-0),IF(Q14&lt;=0.05,0.02+(0.05-0.02)*(Q14-0.02)/(0.05-0.02),IF(Q14&lt;=0.15,0.05+(0.1-0.05)*(Q14-0.05)/(0.15-0.05),IF(Q14&lt;=0.3,0.1+(0.15-0.1)*(Q14-0.15)/(0.3-0.15),IF(Q14&lt;=0.6,0.15+(0.25-0.15)*(Q14-0.3)/(0.6-0.3),IF(Q14&lt;=1,0.25+(0.4-0.25)*(Q14-0.6)/(1-0.6),IF(Q14&lt;=1.5,0.4+(0.55-0.4)*(Q14-1)/(1.5-1),IF(Q14&lt;=2,0.55+(0.65-0.55)*(Q14-1.5)/(2-1.5),0.65)))))))))</x:f>
        <x:v>0.36250000000000004</x:v>
      </x:c>
      <x:c r="S14" s="31" t="n">
        <x:f>R14*6932011.19402985*1.0</x:f>
        <x:v>2512854.057835821</x:v>
      </x:c>
      <x:c r="T14" s="31" t="n">
        <x:f>MAX(0,$A14-1.0)</x:f>
        <x:v>0</x:v>
      </x:c>
      <x:c r="U14" s="31" t="n">
        <x:f>IF(T14&lt;=0,0,IF(T14&lt;=0.02,0+(0.05-0)*(T14-0)/(0.02-0),IF(T14&lt;=0.05,0.05+(0.1-0.05)*(T14-0.02)/(0.05-0.02),IF(T14&lt;=0.15,0.1+(0.3-0.1)*(T14-0.05)/(0.15-0.05),IF(T14&lt;=0.3,0.3+(0.6-0.3)*(T14-0.15)/(0.3-0.15),IF(T14&lt;=0.6,0.6+(0.85-0.6)*(T14-0.3)/(0.6-0.3),IF(T14&lt;=1,0.85+(1-0.85)*(T14-0.6)/(1-0.6),IF(T14&lt;=1.5,1+(1-1)*(T14-1)/(1.5-1),IF(T14&lt;=2,1+(1-1)*(T14-1.5)/(2-1.5),1)))))))))</x:f>
        <x:v>0</x:v>
      </x:c>
      <x:c r="V14" s="31" t="n">
        <x:f>U14*29121485.143992487*1.0</x:f>
        <x:v>0</x:v>
      </x:c>
      <x:c r="W14" s="31" t="n">
        <x:f>SUM(D14,G14,J14,M14,P14,S14,V14)</x:f>
        <x:v>15175171.385446506</x:v>
      </x:c>
      <x:c r="X14" s="31" t="n">
        <x:f>W14/87779570.23626667</x:f>
        <x:v>0.17287816908423173</x:v>
      </x:c>
      <x:c r="Y14" s="31" t="n">
        <x:f>W14/112000000</x:f>
        <x:v>0.13549260165577237</x:v>
      </x:c>
    </x:row>
    <x:row r="15" ht="15" hidden="0" customHeight="1">
      <x:c r="A15" s="31" t="n">
        <x:v>1</x:v>
      </x:c>
      <x:c r="B15" s="31" t="n">
        <x:f>MAX(0,$A15-0.35)</x:f>
        <x:v>0.65</x:v>
      </x:c>
      <x:c r="C15" s="31" t="n">
        <x:f>IF(B15&lt;=0,0,IF(B15&lt;=0.02,0+(0.05-0)*(B15-0)/(0.02-0),IF(B15&lt;=0.05,0.05+(0.25-0.05)*(B15-0.02)/(0.05-0.02),IF(B15&lt;=0.15,0.25+(0.75-0.25)*(B15-0.05)/(0.15-0.05),IF(B15&lt;=0.3,0.75+(0.95-0.75)*(B15-0.15)/(0.3-0.15),IF(B15&lt;=0.6,0.95+(1-0.95)*(B15-0.3)/(0.6-0.3),IF(B15&lt;=1,1+(1-1)*(B15-0.6)/(1-0.6),IF(B15&lt;=1.5,1+(1-1)*(B15-1)/(1.5-1),IF(B15&lt;=2,1+(1-1)*(B15-1.5)/(2-1.5),1)))))))))</x:f>
        <x:v>1</x:v>
      </x:c>
      <x:c r="D15" s="31" t="n">
        <x:f>C15*3230636.6410372383*1.0</x:f>
        <x:v>3230636.6410372383</x:v>
      </x:c>
      <x:c r="E15" s="31" t="n">
        <x:f>MAX(0,$A15-0.4)</x:f>
        <x:v>0.6</x:v>
      </x:c>
      <x:c r="F15" s="31" t="n">
        <x:f>IF(E15&lt;=0,0,IF(E15&lt;=0.02,0+(0.1-0)*(E15-0)/(0.02-0),IF(E15&lt;=0.05,0.1+(0.4-0.1)*(E15-0.02)/(0.05-0.02),IF(E15&lt;=0.15,0.4+(0.85-0.4)*(E15-0.05)/(0.15-0.05),IF(E15&lt;=0.3,0.85+(1-0.85)*(E15-0.15)/(0.3-0.15),IF(E15&lt;=0.6,1+(1-1)*(E15-0.3)/(0.6-0.3),IF(E15&lt;=1,1+(1-1)*(E15-0.6)/(1-0.6),IF(E15&lt;=1.5,1+(1-1)*(E15-1)/(1.5-1),IF(E15&lt;=2,1+(1-1)*(E15-1.5)/(2-1.5),1)))))))))</x:f>
        <x:v>1</x:v>
      </x:c>
      <x:c r="G15" s="31" t="n">
        <x:f>F15*6838526.119402986*1.0</x:f>
        <x:v>6838526.119402986</x:v>
      </x:c>
      <x:c r="H15" s="31" t="n">
        <x:f>MAX(0,$A15-0.45)</x:f>
        <x:v>0.55</x:v>
      </x:c>
      <x:c r="I15" s="31" t="n">
        <x:f>IF(H15&lt;=0,0,IF(H15&lt;=0.02,0+(0.03-0)*(H15-0)/(0.02-0),IF(H15&lt;=0.05,0.03+(0.1-0.03)*(H15-0.02)/(0.05-0.02),IF(H15&lt;=0.15,0.1+(0.25-0.1)*(H15-0.05)/(0.15-0.05),IF(H15&lt;=0.3,0.25+(0.45-0.25)*(H15-0.15)/(0.3-0.15),IF(H15&lt;=0.6,0.45+(0.65-0.45)*(H15-0.3)/(0.6-0.3),IF(H15&lt;=1,0.65+(0.8-0.65)*(H15-0.6)/(1-0.6),IF(H15&lt;=1.5,0.8+(0.95-0.8)*(H15-1)/(1.5-1),IF(H15&lt;=2,0.95+(1-0.95)*(H15-1.5)/(2-1.5),1)))))))))</x:f>
        <x:v>0.6166666666666667</x:v>
      </x:c>
      <x:c r="J15" s="31" t="n">
        <x:f>I15*3811940.298507462*1.0</x:f>
        <x:v>2350696.517412935</x:v>
      </x:c>
      <x:c r="K15" s="31" t="n">
        <x:f>MAX(0,$A15-0.8)</x:f>
        <x:v>0.19999999999999996</x:v>
      </x:c>
      <x:c r="L15" s="31" t="n">
        <x:f>IF(K15&lt;=0,0,IF(K15&lt;=0.02,0+(0.1-0)*(K15-0)/(0.02-0),IF(K15&lt;=0.05,0.1+(0.35-0.1)*(K15-0.02)/(0.05-0.02),IF(K15&lt;=0.15,0.35+(0.8-0.35)*(K15-0.05)/(0.15-0.05),IF(K15&lt;=0.3,0.8+(1-0.8)*(K15-0.15)/(0.3-0.15),IF(K15&lt;=0.6,1+(1-1)*(K15-0.3)/(0.6-0.3),IF(K15&lt;=1,1+(1-1)*(K15-0.6)/(1-0.6),IF(K15&lt;=1.5,1+(1-1)*(K15-1)/(1.5-1),IF(K15&lt;=2,1+(1-1)*(K15-1.5)/(2-1.5),1)))))))))</x:f>
        <x:v>0.8666666666666667</x:v>
      </x:c>
      <x:c r="M15" s="31" t="n">
        <x:f>L15*682625.0*1.0</x:f>
        <x:v>591608.3333333334</x:v>
      </x:c>
      <x:c r="N15" s="31" t="n">
        <x:f>MAX(0,$A15-0.5)</x:f>
        <x:v>0.5</x:v>
      </x:c>
      <x:c r="O15" s="31" t="n">
        <x:f>IF(N15&lt;=0,0,IF(N15&lt;=0.02,0+(0.15-0)*(N15-0)/(0.02-0),IF(N15&lt;=0.05,0.15+(0.45-0.15)*(N15-0.02)/(0.05-0.02),IF(N15&lt;=0.15,0.45+(0.9-0.45)*(N15-0.05)/(0.15-0.05),IF(N15&lt;=0.3,0.9+(1-0.9)*(N15-0.15)/(0.3-0.15),IF(N15&lt;=0.6,1+(1-1)*(N15-0.3)/(0.6-0.3),IF(N15&lt;=1,1+(1-1)*(N15-0.6)/(1-0.6),IF(N15&lt;=1.5,1+(1-1)*(N15-1)/(1.5-1),IF(N15&lt;=2,1+(1-1)*(N15-1.5)/(2-1.5),1)))))))))</x:f>
        <x:v>1</x:v>
      </x:c>
      <x:c r="P15" s="31" t="n">
        <x:f>O15*131000.0*1.0</x:f>
        <x:v>131000</x:v>
      </x:c>
      <x:c r="Q15" s="31" t="n">
        <x:f>MAX(0,$A15-0.0)</x:f>
        <x:v>1</x:v>
      </x:c>
      <x:c r="R15" s="31" t="n">
        <x:f>IF(Q15&lt;=0,0,IF(Q15&lt;=0.02,0+(0.02-0)*(Q15-0)/(0.02-0),IF(Q15&lt;=0.05,0.02+(0.05-0.02)*(Q15-0.02)/(0.05-0.02),IF(Q15&lt;=0.15,0.05+(0.1-0.05)*(Q15-0.05)/(0.15-0.05),IF(Q15&lt;=0.3,0.1+(0.15-0.1)*(Q15-0.15)/(0.3-0.15),IF(Q15&lt;=0.6,0.15+(0.25-0.15)*(Q15-0.3)/(0.6-0.3),IF(Q15&lt;=1,0.25+(0.4-0.25)*(Q15-0.6)/(1-0.6),IF(Q15&lt;=1.5,0.4+(0.55-0.4)*(Q15-1)/(1.5-1),IF(Q15&lt;=2,0.55+(0.65-0.55)*(Q15-1.5)/(2-1.5),0.65)))))))))</x:f>
        <x:v>0.4</x:v>
      </x:c>
      <x:c r="S15" s="31" t="n">
        <x:f>R15*6932011.19402985*1.0</x:f>
        <x:v>2772804.4776119404</x:v>
      </x:c>
      <x:c r="T15" s="31" t="n">
        <x:f>MAX(0,$A15-1.0)</x:f>
        <x:v>0</x:v>
      </x:c>
      <x:c r="U15" s="31" t="n">
        <x:f>IF(T15&lt;=0,0,IF(T15&lt;=0.02,0+(0.05-0)*(T15-0)/(0.02-0),IF(T15&lt;=0.05,0.05+(0.1-0.05)*(T15-0.02)/(0.05-0.02),IF(T15&lt;=0.15,0.1+(0.3-0.1)*(T15-0.05)/(0.15-0.05),IF(T15&lt;=0.3,0.3+(0.6-0.3)*(T15-0.15)/(0.3-0.15),IF(T15&lt;=0.6,0.6+(0.85-0.6)*(T15-0.3)/(0.6-0.3),IF(T15&lt;=1,0.85+(1-0.85)*(T15-0.6)/(1-0.6),IF(T15&lt;=1.5,1+(1-1)*(T15-1)/(1.5-1),IF(T15&lt;=2,1+(1-1)*(T15-1.5)/(2-1.5),1)))))))))</x:f>
        <x:v>0</x:v>
      </x:c>
      <x:c r="V15" s="31" t="n">
        <x:f>U15*29121485.143992487*1.0</x:f>
        <x:v>0</x:v>
      </x:c>
      <x:c r="W15" s="31" t="n">
        <x:f>SUM(D15,G15,J15,M15,P15,S15,V15)</x:f>
        <x:v>15915272.088798434</x:v>
      </x:c>
      <x:c r="X15" s="31" t="n">
        <x:f>W15/87779570.23626667</x:f>
        <x:v>0.18130952391269445</x:v>
      </x:c>
      <x:c r="Y15" s="31" t="n">
        <x:f>W15/112000000</x:f>
        <x:v>0.142100643649986</x:v>
      </x:c>
    </x:row>
    <x:row r="16" ht="15" hidden="0" customHeight="1">
      <x:c r="A16" s="31" t="n">
        <x:v>1.1</x:v>
      </x:c>
      <x:c r="B16" s="31" t="n">
        <x:f>MAX(0,$A16-0.35)</x:f>
        <x:v>0.7500000000000001</x:v>
      </x:c>
      <x:c r="C16" s="31" t="n">
        <x:f>IF(B16&lt;=0,0,IF(B16&lt;=0.02,0+(0.05-0)*(B16-0)/(0.02-0),IF(B16&lt;=0.05,0.05+(0.25-0.05)*(B16-0.02)/(0.05-0.02),IF(B16&lt;=0.15,0.25+(0.75-0.25)*(B16-0.05)/(0.15-0.05),IF(B16&lt;=0.3,0.75+(0.95-0.75)*(B16-0.15)/(0.3-0.15),IF(B16&lt;=0.6,0.95+(1-0.95)*(B16-0.3)/(0.6-0.3),IF(B16&lt;=1,1+(1-1)*(B16-0.6)/(1-0.6),IF(B16&lt;=1.5,1+(1-1)*(B16-1)/(1.5-1),IF(B16&lt;=2,1+(1-1)*(B16-1.5)/(2-1.5),1)))))))))</x:f>
        <x:v>1</x:v>
      </x:c>
      <x:c r="D16" s="31" t="n">
        <x:f>C16*3230636.6410372383*1.0</x:f>
        <x:v>3230636.6410372383</x:v>
      </x:c>
      <x:c r="E16" s="31" t="n">
        <x:f>MAX(0,$A16-0.4)</x:f>
        <x:v>0.7000000000000001</x:v>
      </x:c>
      <x:c r="F16" s="31" t="n">
        <x:f>IF(E16&lt;=0,0,IF(E16&lt;=0.02,0+(0.1-0)*(E16-0)/(0.02-0),IF(E16&lt;=0.05,0.1+(0.4-0.1)*(E16-0.02)/(0.05-0.02),IF(E16&lt;=0.15,0.4+(0.85-0.4)*(E16-0.05)/(0.15-0.05),IF(E16&lt;=0.3,0.85+(1-0.85)*(E16-0.15)/(0.3-0.15),IF(E16&lt;=0.6,1+(1-1)*(E16-0.3)/(0.6-0.3),IF(E16&lt;=1,1+(1-1)*(E16-0.6)/(1-0.6),IF(E16&lt;=1.5,1+(1-1)*(E16-1)/(1.5-1),IF(E16&lt;=2,1+(1-1)*(E16-1.5)/(2-1.5),1)))))))))</x:f>
        <x:v>1</x:v>
      </x:c>
      <x:c r="G16" s="31" t="n">
        <x:f>F16*6838526.119402986*1.0</x:f>
        <x:v>6838526.119402986</x:v>
      </x:c>
      <x:c r="H16" s="31" t="n">
        <x:f>MAX(0,$A16-0.45)</x:f>
        <x:v>0.6500000000000001</x:v>
      </x:c>
      <x:c r="I16" s="31" t="n">
        <x:f>IF(H16&lt;=0,0,IF(H16&lt;=0.02,0+(0.03-0)*(H16-0)/(0.02-0),IF(H16&lt;=0.05,0.03+(0.1-0.03)*(H16-0.02)/(0.05-0.02),IF(H16&lt;=0.15,0.1+(0.25-0.1)*(H16-0.05)/(0.15-0.05),IF(H16&lt;=0.3,0.25+(0.45-0.25)*(H16-0.15)/(0.3-0.15),IF(H16&lt;=0.6,0.45+(0.65-0.45)*(H16-0.3)/(0.6-0.3),IF(H16&lt;=1,0.65+(0.8-0.65)*(H16-0.6)/(1-0.6),IF(H16&lt;=1.5,0.8+(0.95-0.8)*(H16-1)/(1.5-1),IF(H16&lt;=2,0.95+(1-0.95)*(H16-1.5)/(2-1.5),1)))))))))</x:f>
        <x:v>0.6687500000000001</x:v>
      </x:c>
      <x:c r="J16" s="31" t="n">
        <x:f>I16*3811940.298507462*1.0</x:f>
        <x:v>2549235.0746268653</x:v>
      </x:c>
      <x:c r="K16" s="31" t="n">
        <x:f>MAX(0,$A16-0.8)</x:f>
        <x:v>0.30000000000000004</x:v>
      </x:c>
      <x:c r="L16" s="31" t="n">
        <x:f>IF(K16&lt;=0,0,IF(K16&lt;=0.02,0+(0.1-0)*(K16-0)/(0.02-0),IF(K16&lt;=0.05,0.1+(0.35-0.1)*(K16-0.02)/(0.05-0.02),IF(K16&lt;=0.15,0.35+(0.8-0.35)*(K16-0.05)/(0.15-0.05),IF(K16&lt;=0.3,0.8+(1-0.8)*(K16-0.15)/(0.3-0.15),IF(K16&lt;=0.6,1+(1-1)*(K16-0.3)/(0.6-0.3),IF(K16&lt;=1,1+(1-1)*(K16-0.6)/(1-0.6),IF(K16&lt;=1.5,1+(1-1)*(K16-1)/(1.5-1),IF(K16&lt;=2,1+(1-1)*(K16-1.5)/(2-1.5),1)))))))))</x:f>
        <x:v>1</x:v>
      </x:c>
      <x:c r="M16" s="31" t="n">
        <x:f>L16*682625.0*1.0</x:f>
        <x:v>682625</x:v>
      </x:c>
      <x:c r="N16" s="31" t="n">
        <x:f>MAX(0,$A16-0.5)</x:f>
        <x:v>0.6000000000000001</x:v>
      </x:c>
      <x:c r="O16" s="31" t="n">
        <x:f>IF(N16&lt;=0,0,IF(N16&lt;=0.02,0+(0.15-0)*(N16-0)/(0.02-0),IF(N16&lt;=0.05,0.15+(0.45-0.15)*(N16-0.02)/(0.05-0.02),IF(N16&lt;=0.15,0.45+(0.9-0.45)*(N16-0.05)/(0.15-0.05),IF(N16&lt;=0.3,0.9+(1-0.9)*(N16-0.15)/(0.3-0.15),IF(N16&lt;=0.6,1+(1-1)*(N16-0.3)/(0.6-0.3),IF(N16&lt;=1,1+(1-1)*(N16-0.6)/(1-0.6),IF(N16&lt;=1.5,1+(1-1)*(N16-1)/(1.5-1),IF(N16&lt;=2,1+(1-1)*(N16-1.5)/(2-1.5),1)))))))))</x:f>
        <x:v>1</x:v>
      </x:c>
      <x:c r="P16" s="31" t="n">
        <x:f>O16*131000.0*1.0</x:f>
        <x:v>131000</x:v>
      </x:c>
      <x:c r="Q16" s="31" t="n">
        <x:f>MAX(0,$A16-0.0)</x:f>
        <x:v>1.1</x:v>
      </x:c>
      <x:c r="R16" s="31" t="n">
        <x:f>IF(Q16&lt;=0,0,IF(Q16&lt;=0.02,0+(0.02-0)*(Q16-0)/(0.02-0),IF(Q16&lt;=0.05,0.02+(0.05-0.02)*(Q16-0.02)/(0.05-0.02),IF(Q16&lt;=0.15,0.05+(0.1-0.05)*(Q16-0.05)/(0.15-0.05),IF(Q16&lt;=0.3,0.1+(0.15-0.1)*(Q16-0.15)/(0.3-0.15),IF(Q16&lt;=0.6,0.15+(0.25-0.15)*(Q16-0.3)/(0.6-0.3),IF(Q16&lt;=1,0.25+(0.4-0.25)*(Q16-0.6)/(1-0.6),IF(Q16&lt;=1.5,0.4+(0.55-0.4)*(Q16-1)/(1.5-1),IF(Q16&lt;=2,0.55+(0.65-0.55)*(Q16-1.5)/(2-1.5),0.65)))))))))</x:f>
        <x:v>0.43000000000000005</x:v>
      </x:c>
      <x:c r="S16" s="31" t="n">
        <x:f>R16*6932011.19402985*1.0</x:f>
        <x:v>2980764.813432836</x:v>
      </x:c>
      <x:c r="T16" s="31" t="n">
        <x:f>MAX(0,$A16-1.0)</x:f>
        <x:v>0.10000000000000009</x:v>
      </x:c>
      <x:c r="U16" s="31" t="n">
        <x:f>IF(T16&lt;=0,0,IF(T16&lt;=0.02,0+(0.05-0)*(T16-0)/(0.02-0),IF(T16&lt;=0.05,0.05+(0.1-0.05)*(T16-0.02)/(0.05-0.02),IF(T16&lt;=0.15,0.1+(0.3-0.1)*(T16-0.05)/(0.15-0.05),IF(T16&lt;=0.3,0.3+(0.6-0.3)*(T16-0.15)/(0.3-0.15),IF(T16&lt;=0.6,0.6+(0.85-0.6)*(T16-0.3)/(0.6-0.3),IF(T16&lt;=1,0.85+(1-0.85)*(T16-0.6)/(1-0.6),IF(T16&lt;=1.5,1+(1-1)*(T16-1)/(1.5-1),IF(T16&lt;=2,1+(1-1)*(T16-1.5)/(2-1.5),1)))))))))</x:f>
        <x:v>0.20000000000000018</x:v>
      </x:c>
      <x:c r="V16" s="31" t="n">
        <x:f>U16*29121485.143992487*1.0</x:f>
        <x:v>5824297.028798503</x:v>
      </x:c>
      <x:c r="W16" s="31" t="n">
        <x:f>SUM(D16,G16,J16,M16,P16,S16,V16)</x:f>
        <x:v>22237084.677298427</x:v>
      </x:c>
      <x:c r="X16" s="31" t="n">
        <x:f>W16/87779570.23626667</x:f>
        <x:v>0.2533287029937068</x:v>
      </x:c>
      <x:c r="Y16" s="31" t="n">
        <x:f>W16/112000000</x:f>
        <x:v>0.19854539890445025</x:v>
      </x:c>
    </x:row>
    <x:row r="17" ht="15" hidden="0" customHeight="1">
      <x:c r="A17" s="31" t="n">
        <x:v>1.2</x:v>
      </x:c>
      <x:c r="B17" s="31" t="n">
        <x:f>MAX(0,$A17-0.35)</x:f>
        <x:v>0.85</x:v>
      </x:c>
      <x:c r="C17" s="31" t="n">
        <x:f>IF(B17&lt;=0,0,IF(B17&lt;=0.02,0+(0.05-0)*(B17-0)/(0.02-0),IF(B17&lt;=0.05,0.05+(0.25-0.05)*(B17-0.02)/(0.05-0.02),IF(B17&lt;=0.15,0.25+(0.75-0.25)*(B17-0.05)/(0.15-0.05),IF(B17&lt;=0.3,0.75+(0.95-0.75)*(B17-0.15)/(0.3-0.15),IF(B17&lt;=0.6,0.95+(1-0.95)*(B17-0.3)/(0.6-0.3),IF(B17&lt;=1,1+(1-1)*(B17-0.6)/(1-0.6),IF(B17&lt;=1.5,1+(1-1)*(B17-1)/(1.5-1),IF(B17&lt;=2,1+(1-1)*(B17-1.5)/(2-1.5),1)))))))))</x:f>
        <x:v>1</x:v>
      </x:c>
      <x:c r="D17" s="31" t="n">
        <x:f>C17*3230636.6410372383*1.0</x:f>
        <x:v>3230636.6410372383</x:v>
      </x:c>
      <x:c r="E17" s="31" t="n">
        <x:f>MAX(0,$A17-0.4)</x:f>
        <x:v>0.7999999999999999</x:v>
      </x:c>
      <x:c r="F17" s="31" t="n">
        <x:f>IF(E17&lt;=0,0,IF(E17&lt;=0.02,0+(0.1-0)*(E17-0)/(0.02-0),IF(E17&lt;=0.05,0.1+(0.4-0.1)*(E17-0.02)/(0.05-0.02),IF(E17&lt;=0.15,0.4+(0.85-0.4)*(E17-0.05)/(0.15-0.05),IF(E17&lt;=0.3,0.85+(1-0.85)*(E17-0.15)/(0.3-0.15),IF(E17&lt;=0.6,1+(1-1)*(E17-0.3)/(0.6-0.3),IF(E17&lt;=1,1+(1-1)*(E17-0.6)/(1-0.6),IF(E17&lt;=1.5,1+(1-1)*(E17-1)/(1.5-1),IF(E17&lt;=2,1+(1-1)*(E17-1.5)/(2-1.5),1)))))))))</x:f>
        <x:v>1</x:v>
      </x:c>
      <x:c r="G17" s="31" t="n">
        <x:f>F17*6838526.119402986*1.0</x:f>
        <x:v>6838526.119402986</x:v>
      </x:c>
      <x:c r="H17" s="31" t="n">
        <x:f>MAX(0,$A17-0.45)</x:f>
        <x:v>0.75</x:v>
      </x:c>
      <x:c r="I17" s="31" t="n">
        <x:f>IF(H17&lt;=0,0,IF(H17&lt;=0.02,0+(0.03-0)*(H17-0)/(0.02-0),IF(H17&lt;=0.05,0.03+(0.1-0.03)*(H17-0.02)/(0.05-0.02),IF(H17&lt;=0.15,0.1+(0.25-0.1)*(H17-0.05)/(0.15-0.05),IF(H17&lt;=0.3,0.25+(0.45-0.25)*(H17-0.15)/(0.3-0.15),IF(H17&lt;=0.6,0.45+(0.65-0.45)*(H17-0.3)/(0.6-0.3),IF(H17&lt;=1,0.65+(0.8-0.65)*(H17-0.6)/(1-0.6),IF(H17&lt;=1.5,0.8+(0.95-0.8)*(H17-1)/(1.5-1),IF(H17&lt;=2,0.95+(1-0.95)*(H17-1.5)/(2-1.5),1)))))))))</x:f>
        <x:v>0.70625</x:v>
      </x:c>
      <x:c r="J17" s="31" t="n">
        <x:f>I17*3811940.298507462*1.0</x:f>
        <x:v>2692182.835820895</x:v>
      </x:c>
      <x:c r="K17" s="31" t="n">
        <x:f>MAX(0,$A17-0.8)</x:f>
        <x:v>0.3999999999999999</x:v>
      </x:c>
      <x:c r="L17" s="31" t="n">
        <x:f>IF(K17&lt;=0,0,IF(K17&lt;=0.02,0+(0.1-0)*(K17-0)/(0.02-0),IF(K17&lt;=0.05,0.1+(0.35-0.1)*(K17-0.02)/(0.05-0.02),IF(K17&lt;=0.15,0.35+(0.8-0.35)*(K17-0.05)/(0.15-0.05),IF(K17&lt;=0.3,0.8+(1-0.8)*(K17-0.15)/(0.3-0.15),IF(K17&lt;=0.6,1+(1-1)*(K17-0.3)/(0.6-0.3),IF(K17&lt;=1,1+(1-1)*(K17-0.6)/(1-0.6),IF(K17&lt;=1.5,1+(1-1)*(K17-1)/(1.5-1),IF(K17&lt;=2,1+(1-1)*(K17-1.5)/(2-1.5),1)))))))))</x:f>
        <x:v>1</x:v>
      </x:c>
      <x:c r="M17" s="31" t="n">
        <x:f>L17*682625.0*1.0</x:f>
        <x:v>682625</x:v>
      </x:c>
      <x:c r="N17" s="31" t="n">
        <x:f>MAX(0,$A17-0.5)</x:f>
        <x:v>0.7</x:v>
      </x:c>
      <x:c r="O17" s="31" t="n">
        <x:f>IF(N17&lt;=0,0,IF(N17&lt;=0.02,0+(0.15-0)*(N17-0)/(0.02-0),IF(N17&lt;=0.05,0.15+(0.45-0.15)*(N17-0.02)/(0.05-0.02),IF(N17&lt;=0.15,0.45+(0.9-0.45)*(N17-0.05)/(0.15-0.05),IF(N17&lt;=0.3,0.9+(1-0.9)*(N17-0.15)/(0.3-0.15),IF(N17&lt;=0.6,1+(1-1)*(N17-0.3)/(0.6-0.3),IF(N17&lt;=1,1+(1-1)*(N17-0.6)/(1-0.6),IF(N17&lt;=1.5,1+(1-1)*(N17-1)/(1.5-1),IF(N17&lt;=2,1+(1-1)*(N17-1.5)/(2-1.5),1)))))))))</x:f>
        <x:v>1</x:v>
      </x:c>
      <x:c r="P17" s="31" t="n">
        <x:f>O17*131000.0*1.0</x:f>
        <x:v>131000</x:v>
      </x:c>
      <x:c r="Q17" s="31" t="n">
        <x:f>MAX(0,$A17-0.0)</x:f>
        <x:v>1.2</x:v>
      </x:c>
      <x:c r="R17" s="31" t="n">
        <x:f>IF(Q17&lt;=0,0,IF(Q17&lt;=0.02,0+(0.02-0)*(Q17-0)/(0.02-0),IF(Q17&lt;=0.05,0.02+(0.05-0.02)*(Q17-0.02)/(0.05-0.02),IF(Q17&lt;=0.15,0.05+(0.1-0.05)*(Q17-0.05)/(0.15-0.05),IF(Q17&lt;=0.3,0.1+(0.15-0.1)*(Q17-0.15)/(0.3-0.15),IF(Q17&lt;=0.6,0.15+(0.25-0.15)*(Q17-0.3)/(0.6-0.3),IF(Q17&lt;=1,0.25+(0.4-0.25)*(Q17-0.6)/(1-0.6),IF(Q17&lt;=1.5,0.4+(0.55-0.4)*(Q17-1)/(1.5-1),IF(Q17&lt;=2,0.55+(0.65-0.55)*(Q17-1.5)/(2-1.5),0.65)))))))))</x:f>
        <x:v>0.46</x:v>
      </x:c>
      <x:c r="S17" s="31" t="n">
        <x:f>R17*6932011.19402985*1.0</x:f>
        <x:v>3188725.149253731</x:v>
      </x:c>
      <x:c r="T17" s="31" t="n">
        <x:f>MAX(0,$A17-1.0)</x:f>
        <x:v>0.19999999999999996</x:v>
      </x:c>
      <x:c r="U17" s="31" t="n">
        <x:f>IF(T17&lt;=0,0,IF(T17&lt;=0.02,0+(0.05-0)*(T17-0)/(0.02-0),IF(T17&lt;=0.05,0.05+(0.1-0.05)*(T17-0.02)/(0.05-0.02),IF(T17&lt;=0.15,0.1+(0.3-0.1)*(T17-0.05)/(0.15-0.05),IF(T17&lt;=0.3,0.3+(0.6-0.3)*(T17-0.15)/(0.3-0.15),IF(T17&lt;=0.6,0.6+(0.85-0.6)*(T17-0.3)/(0.6-0.3),IF(T17&lt;=1,0.85+(1-0.85)*(T17-0.6)/(1-0.6),IF(T17&lt;=1.5,1+(1-1)*(T17-1)/(1.5-1),IF(T17&lt;=2,1+(1-1)*(T17-1.5)/(2-1.5),1)))))))))</x:f>
        <x:v>0.3999999999999999</x:v>
      </x:c>
      <x:c r="V17" s="31" t="n">
        <x:f>U17*29121485.143992487*1.0</x:f>
        <x:v>11648594.057596993</x:v>
      </x:c>
      <x:c r="W17" s="31" t="n">
        <x:f>SUM(D17,G17,J17,M17,P17,S17,V17)</x:f>
        <x:v>28412289.803111844</x:v>
      </x:c>
      <x:c r="X17" s="31" t="n">
        <x:f>W17/87779570.23626667</x:f>
        <x:v>0.3236777045802069</x:v>
      </x:c>
      <x:c r="Y17" s="31" t="n">
        <x:f>W17/112000000</x:f>
        <x:v>0.25368115895635573</x:v>
      </x:c>
    </x:row>
    <x:row r="18" ht="15" hidden="0" customHeight="1">
      <x:c r="A18" s="31" t="n">
        <x:v>1.3</x:v>
      </x:c>
      <x:c r="B18" s="31" t="n">
        <x:f>MAX(0,$A18-0.35)</x:f>
        <x:v>0.9500000000000001</x:v>
      </x:c>
      <x:c r="C18" s="31" t="n">
        <x:f>IF(B18&lt;=0,0,IF(B18&lt;=0.02,0+(0.05-0)*(B18-0)/(0.02-0),IF(B18&lt;=0.05,0.05+(0.25-0.05)*(B18-0.02)/(0.05-0.02),IF(B18&lt;=0.15,0.25+(0.75-0.25)*(B18-0.05)/(0.15-0.05),IF(B18&lt;=0.3,0.75+(0.95-0.75)*(B18-0.15)/(0.3-0.15),IF(B18&lt;=0.6,0.95+(1-0.95)*(B18-0.3)/(0.6-0.3),IF(B18&lt;=1,1+(1-1)*(B18-0.6)/(1-0.6),IF(B18&lt;=1.5,1+(1-1)*(B18-1)/(1.5-1),IF(B18&lt;=2,1+(1-1)*(B18-1.5)/(2-1.5),1)))))))))</x:f>
        <x:v>1</x:v>
      </x:c>
      <x:c r="D18" s="31" t="n">
        <x:f>C18*3230636.6410372383*1.0</x:f>
        <x:v>3230636.6410372383</x:v>
      </x:c>
      <x:c r="E18" s="31" t="n">
        <x:f>MAX(0,$A18-0.4)</x:f>
        <x:v>0.9</x:v>
      </x:c>
      <x:c r="F18" s="31" t="n">
        <x:f>IF(E18&lt;=0,0,IF(E18&lt;=0.02,0+(0.1-0)*(E18-0)/(0.02-0),IF(E18&lt;=0.05,0.1+(0.4-0.1)*(E18-0.02)/(0.05-0.02),IF(E18&lt;=0.15,0.4+(0.85-0.4)*(E18-0.05)/(0.15-0.05),IF(E18&lt;=0.3,0.85+(1-0.85)*(E18-0.15)/(0.3-0.15),IF(E18&lt;=0.6,1+(1-1)*(E18-0.3)/(0.6-0.3),IF(E18&lt;=1,1+(1-1)*(E18-0.6)/(1-0.6),IF(E18&lt;=1.5,1+(1-1)*(E18-1)/(1.5-1),IF(E18&lt;=2,1+(1-1)*(E18-1.5)/(2-1.5),1)))))))))</x:f>
        <x:v>1</x:v>
      </x:c>
      <x:c r="G18" s="31" t="n">
        <x:f>F18*6838526.119402986*1.0</x:f>
        <x:v>6838526.119402986</x:v>
      </x:c>
      <x:c r="H18" s="31" t="n">
        <x:f>MAX(0,$A18-0.45)</x:f>
        <x:v>0.8500000000000001</x:v>
      </x:c>
      <x:c r="I18" s="31" t="n">
        <x:f>IF(H18&lt;=0,0,IF(H18&lt;=0.02,0+(0.03-0)*(H18-0)/(0.02-0),IF(H18&lt;=0.05,0.03+(0.1-0.03)*(H18-0.02)/(0.05-0.02),IF(H18&lt;=0.15,0.1+(0.25-0.1)*(H18-0.05)/(0.15-0.05),IF(H18&lt;=0.3,0.25+(0.45-0.25)*(H18-0.15)/(0.3-0.15),IF(H18&lt;=0.6,0.45+(0.65-0.45)*(H18-0.3)/(0.6-0.3),IF(H18&lt;=1,0.65+(0.8-0.65)*(H18-0.6)/(1-0.6),IF(H18&lt;=1.5,0.8+(0.95-0.8)*(H18-1)/(1.5-1),IF(H18&lt;=2,0.95+(1-0.95)*(H18-1.5)/(2-1.5),1)))))))))</x:f>
        <x:v>0.74375</x:v>
      </x:c>
      <x:c r="J18" s="31" t="n">
        <x:f>I18*3811940.298507462*1.0</x:f>
        <x:v>2835130.597014925</x:v>
      </x:c>
      <x:c r="K18" s="31" t="n">
        <x:f>MAX(0,$A18-0.8)</x:f>
        <x:v>0.5</x:v>
      </x:c>
      <x:c r="L18" s="31" t="n">
        <x:f>IF(K18&lt;=0,0,IF(K18&lt;=0.02,0+(0.1-0)*(K18-0)/(0.02-0),IF(K18&lt;=0.05,0.1+(0.35-0.1)*(K18-0.02)/(0.05-0.02),IF(K18&lt;=0.15,0.35+(0.8-0.35)*(K18-0.05)/(0.15-0.05),IF(K18&lt;=0.3,0.8+(1-0.8)*(K18-0.15)/(0.3-0.15),IF(K18&lt;=0.6,1+(1-1)*(K18-0.3)/(0.6-0.3),IF(K18&lt;=1,1+(1-1)*(K18-0.6)/(1-0.6),IF(K18&lt;=1.5,1+(1-1)*(K18-1)/(1.5-1),IF(K18&lt;=2,1+(1-1)*(K18-1.5)/(2-1.5),1)))))))))</x:f>
        <x:v>1</x:v>
      </x:c>
      <x:c r="M18" s="31" t="n">
        <x:f>L18*682625.0*1.0</x:f>
        <x:v>682625</x:v>
      </x:c>
      <x:c r="N18" s="31" t="n">
        <x:f>MAX(0,$A18-0.5)</x:f>
        <x:v>0.8</x:v>
      </x:c>
      <x:c r="O18" s="31" t="n">
        <x:f>IF(N18&lt;=0,0,IF(N18&lt;=0.02,0+(0.15-0)*(N18-0)/(0.02-0),IF(N18&lt;=0.05,0.15+(0.45-0.15)*(N18-0.02)/(0.05-0.02),IF(N18&lt;=0.15,0.45+(0.9-0.45)*(N18-0.05)/(0.15-0.05),IF(N18&lt;=0.3,0.9+(1-0.9)*(N18-0.15)/(0.3-0.15),IF(N18&lt;=0.6,1+(1-1)*(N18-0.3)/(0.6-0.3),IF(N18&lt;=1,1+(1-1)*(N18-0.6)/(1-0.6),IF(N18&lt;=1.5,1+(1-1)*(N18-1)/(1.5-1),IF(N18&lt;=2,1+(1-1)*(N18-1.5)/(2-1.5),1)))))))))</x:f>
        <x:v>1</x:v>
      </x:c>
      <x:c r="P18" s="31" t="n">
        <x:f>O18*131000.0*1.0</x:f>
        <x:v>131000</x:v>
      </x:c>
      <x:c r="Q18" s="31" t="n">
        <x:f>MAX(0,$A18-0.0)</x:f>
        <x:v>1.3</x:v>
      </x:c>
      <x:c r="R18" s="31" t="n">
        <x:f>IF(Q18&lt;=0,0,IF(Q18&lt;=0.02,0+(0.02-0)*(Q18-0)/(0.02-0),IF(Q18&lt;=0.05,0.02+(0.05-0.02)*(Q18-0.02)/(0.05-0.02),IF(Q18&lt;=0.15,0.05+(0.1-0.05)*(Q18-0.05)/(0.15-0.05),IF(Q18&lt;=0.3,0.1+(0.15-0.1)*(Q18-0.15)/(0.3-0.15),IF(Q18&lt;=0.6,0.15+(0.25-0.15)*(Q18-0.3)/(0.6-0.3),IF(Q18&lt;=1,0.25+(0.4-0.25)*(Q18-0.6)/(1-0.6),IF(Q18&lt;=1.5,0.4+(0.55-0.4)*(Q18-1)/(1.5-1),IF(Q18&lt;=2,0.55+(0.65-0.55)*(Q18-1.5)/(2-1.5),0.65)))))))))</x:f>
        <x:v>0.49000000000000005</x:v>
      </x:c>
      <x:c r="S18" s="31" t="n">
        <x:f>R18*6932011.19402985*1.0</x:f>
        <x:v>3396685.4850746267</x:v>
      </x:c>
      <x:c r="T18" s="31" t="n">
        <x:f>MAX(0,$A18-1.0)</x:f>
        <x:v>0.30000000000000004</x:v>
      </x:c>
      <x:c r="U18" s="31" t="n">
        <x:f>IF(T18&lt;=0,0,IF(T18&lt;=0.02,0+(0.05-0)*(T18-0)/(0.02-0),IF(T18&lt;=0.05,0.05+(0.1-0.05)*(T18-0.02)/(0.05-0.02),IF(T18&lt;=0.15,0.1+(0.3-0.1)*(T18-0.05)/(0.15-0.05),IF(T18&lt;=0.3,0.3+(0.6-0.3)*(T18-0.15)/(0.3-0.15),IF(T18&lt;=0.6,0.6+(0.85-0.6)*(T18-0.3)/(0.6-0.3),IF(T18&lt;=1,0.85+(1-0.85)*(T18-0.6)/(1-0.6),IF(T18&lt;=1.5,1+(1-1)*(T18-1)/(1.5-1),IF(T18&lt;=2,1+(1-1)*(T18-1.5)/(2-1.5),1)))))))))</x:f>
        <x:v>0.6000000000000001</x:v>
      </x:c>
      <x:c r="V18" s="31" t="n">
        <x:f>U18*29121485.143992487*1.0</x:f>
        <x:v>17472891.086395495</x:v>
      </x:c>
      <x:c r="W18" s="31" t="n">
        <x:f>SUM(D18,G18,J18,M18,P18,S18,V18)</x:f>
        <x:v>34587494.928925276</x:v>
      </x:c>
      <x:c r="X18" s="31" t="n">
        <x:f>W18/87779570.23626667</x:f>
        <x:v>0.3940267061667071</x:v>
      </x:c>
      <x:c r="Y18" s="31" t="n">
        <x:f>W18/112000000</x:f>
        <x:v>0.3088169190082614</x:v>
      </x:c>
    </x:row>
    <x:row r="19" ht="15" hidden="0" customHeight="1">
      <x:c r="A19" s="31" t="n">
        <x:v>1.4</x:v>
      </x:c>
      <x:c r="B19" s="31" t="n">
        <x:f>MAX(0,$A19-0.35)</x:f>
        <x:v>1.0499999999999998</x:v>
      </x:c>
      <x:c r="C19" s="31" t="n">
        <x:f>IF(B19&lt;=0,0,IF(B19&lt;=0.02,0+(0.05-0)*(B19-0)/(0.02-0),IF(B19&lt;=0.05,0.05+(0.25-0.05)*(B19-0.02)/(0.05-0.02),IF(B19&lt;=0.15,0.25+(0.75-0.25)*(B19-0.05)/(0.15-0.05),IF(B19&lt;=0.3,0.75+(0.95-0.75)*(B19-0.15)/(0.3-0.15),IF(B19&lt;=0.6,0.95+(1-0.95)*(B19-0.3)/(0.6-0.3),IF(B19&lt;=1,1+(1-1)*(B19-0.6)/(1-0.6),IF(B19&lt;=1.5,1+(1-1)*(B19-1)/(1.5-1),IF(B19&lt;=2,1+(1-1)*(B19-1.5)/(2-1.5),1)))))))))</x:f>
        <x:v>1</x:v>
      </x:c>
      <x:c r="D19" s="31" t="n">
        <x:f>C19*3230636.6410372383*1.0</x:f>
        <x:v>3230636.6410372383</x:v>
      </x:c>
      <x:c r="E19" s="31" t="n">
        <x:f>MAX(0,$A19-0.4)</x:f>
        <x:v>0.9999999999999999</x:v>
      </x:c>
      <x:c r="F19" s="31" t="n">
        <x:f>IF(E19&lt;=0,0,IF(E19&lt;=0.02,0+(0.1-0)*(E19-0)/(0.02-0),IF(E19&lt;=0.05,0.1+(0.4-0.1)*(E19-0.02)/(0.05-0.02),IF(E19&lt;=0.15,0.4+(0.85-0.4)*(E19-0.05)/(0.15-0.05),IF(E19&lt;=0.3,0.85+(1-0.85)*(E19-0.15)/(0.3-0.15),IF(E19&lt;=0.6,1+(1-1)*(E19-0.3)/(0.6-0.3),IF(E19&lt;=1,1+(1-1)*(E19-0.6)/(1-0.6),IF(E19&lt;=1.5,1+(1-1)*(E19-1)/(1.5-1),IF(E19&lt;=2,1+(1-1)*(E19-1.5)/(2-1.5),1)))))))))</x:f>
        <x:v>1</x:v>
      </x:c>
      <x:c r="G19" s="31" t="n">
        <x:f>F19*6838526.119402986*1.0</x:f>
        <x:v>6838526.119402986</x:v>
      </x:c>
      <x:c r="H19" s="31" t="n">
        <x:f>MAX(0,$A19-0.45)</x:f>
        <x:v>0.95</x:v>
      </x:c>
      <x:c r="I19" s="31" t="n">
        <x:f>IF(H19&lt;=0,0,IF(H19&lt;=0.02,0+(0.03-0)*(H19-0)/(0.02-0),IF(H19&lt;=0.05,0.03+(0.1-0.03)*(H19-0.02)/(0.05-0.02),IF(H19&lt;=0.15,0.1+(0.25-0.1)*(H19-0.05)/(0.15-0.05),IF(H19&lt;=0.3,0.25+(0.45-0.25)*(H19-0.15)/(0.3-0.15),IF(H19&lt;=0.6,0.45+(0.65-0.45)*(H19-0.3)/(0.6-0.3),IF(H19&lt;=1,0.65+(0.8-0.65)*(H19-0.6)/(1-0.6),IF(H19&lt;=1.5,0.8+(0.95-0.8)*(H19-1)/(1.5-1),IF(H19&lt;=2,0.95+(1-0.95)*(H19-1.5)/(2-1.5),1)))))))))</x:f>
        <x:v>0.78125</x:v>
      </x:c>
      <x:c r="J19" s="31" t="n">
        <x:f>I19*3811940.298507462*1.0</x:f>
        <x:v>2978078.3582089543</x:v>
      </x:c>
      <x:c r="K19" s="31" t="n">
        <x:f>MAX(0,$A19-0.8)</x:f>
        <x:v>0.5999999999999999</x:v>
      </x:c>
      <x:c r="L19" s="31" t="n">
        <x:f>IF(K19&lt;=0,0,IF(K19&lt;=0.02,0+(0.1-0)*(K19-0)/(0.02-0),IF(K19&lt;=0.05,0.1+(0.35-0.1)*(K19-0.02)/(0.05-0.02),IF(K19&lt;=0.15,0.35+(0.8-0.35)*(K19-0.05)/(0.15-0.05),IF(K19&lt;=0.3,0.8+(1-0.8)*(K19-0.15)/(0.3-0.15),IF(K19&lt;=0.6,1+(1-1)*(K19-0.3)/(0.6-0.3),IF(K19&lt;=1,1+(1-1)*(K19-0.6)/(1-0.6),IF(K19&lt;=1.5,1+(1-1)*(K19-1)/(1.5-1),IF(K19&lt;=2,1+(1-1)*(K19-1.5)/(2-1.5),1)))))))))</x:f>
        <x:v>1</x:v>
      </x:c>
      <x:c r="M19" s="31" t="n">
        <x:f>L19*682625.0*1.0</x:f>
        <x:v>682625</x:v>
      </x:c>
      <x:c r="N19" s="31" t="n">
        <x:f>MAX(0,$A19-0.5)</x:f>
        <x:v>0.8999999999999999</x:v>
      </x:c>
      <x:c r="O19" s="31" t="n">
        <x:f>IF(N19&lt;=0,0,IF(N19&lt;=0.02,0+(0.15-0)*(N19-0)/(0.02-0),IF(N19&lt;=0.05,0.15+(0.45-0.15)*(N19-0.02)/(0.05-0.02),IF(N19&lt;=0.15,0.45+(0.9-0.45)*(N19-0.05)/(0.15-0.05),IF(N19&lt;=0.3,0.9+(1-0.9)*(N19-0.15)/(0.3-0.15),IF(N19&lt;=0.6,1+(1-1)*(N19-0.3)/(0.6-0.3),IF(N19&lt;=1,1+(1-1)*(N19-0.6)/(1-0.6),IF(N19&lt;=1.5,1+(1-1)*(N19-1)/(1.5-1),IF(N19&lt;=2,1+(1-1)*(N19-1.5)/(2-1.5),1)))))))))</x:f>
        <x:v>1</x:v>
      </x:c>
      <x:c r="P19" s="31" t="n">
        <x:f>O19*131000.0*1.0</x:f>
        <x:v>131000</x:v>
      </x:c>
      <x:c r="Q19" s="31" t="n">
        <x:f>MAX(0,$A19-0.0)</x:f>
        <x:v>1.4</x:v>
      </x:c>
      <x:c r="R19" s="31" t="n">
        <x:f>IF(Q19&lt;=0,0,IF(Q19&lt;=0.02,0+(0.02-0)*(Q19-0)/(0.02-0),IF(Q19&lt;=0.05,0.02+(0.05-0.02)*(Q19-0.02)/(0.05-0.02),IF(Q19&lt;=0.15,0.05+(0.1-0.05)*(Q19-0.05)/(0.15-0.05),IF(Q19&lt;=0.3,0.1+(0.15-0.1)*(Q19-0.15)/(0.3-0.15),IF(Q19&lt;=0.6,0.15+(0.25-0.15)*(Q19-0.3)/(0.6-0.3),IF(Q19&lt;=1,0.25+(0.4-0.25)*(Q19-0.6)/(1-0.6),IF(Q19&lt;=1.5,0.4+(0.55-0.4)*(Q19-1)/(1.5-1),IF(Q19&lt;=2,0.55+(0.65-0.55)*(Q19-1.5)/(2-1.5),0.65)))))))))</x:f>
        <x:v>0.52</x:v>
      </x:c>
      <x:c r="S19" s="31" t="n">
        <x:f>R19*6932011.19402985*1.0</x:f>
        <x:v>3604645.820895522</x:v>
      </x:c>
      <x:c r="T19" s="31" t="n">
        <x:f>MAX(0,$A19-1.0)</x:f>
        <x:v>0.3999999999999999</x:v>
      </x:c>
      <x:c r="U19" s="31" t="n">
        <x:f>IF(T19&lt;=0,0,IF(T19&lt;=0.02,0+(0.05-0)*(T19-0)/(0.02-0),IF(T19&lt;=0.05,0.05+(0.1-0.05)*(T19-0.02)/(0.05-0.02),IF(T19&lt;=0.15,0.1+(0.3-0.1)*(T19-0.05)/(0.15-0.05),IF(T19&lt;=0.3,0.3+(0.6-0.3)*(T19-0.15)/(0.3-0.15),IF(T19&lt;=0.6,0.6+(0.85-0.6)*(T19-0.3)/(0.6-0.3),IF(T19&lt;=1,0.85+(1-0.85)*(T19-0.6)/(1-0.6),IF(T19&lt;=1.5,1+(1-1)*(T19-1)/(1.5-1),IF(T19&lt;=2,1+(1-1)*(T19-1.5)/(2-1.5),1)))))))))</x:f>
        <x:v>0.6833333333333332</x:v>
      </x:c>
      <x:c r="V19" s="31" t="n">
        <x:f>U19*29121485.143992487*1.0</x:f>
        <x:v>19899681.51506153</x:v>
      </x:c>
      <x:c r="W19" s="31" t="n">
        <x:f>SUM(D19,G19,J19,M19,P19,S19,V19)</x:f>
        <x:v>37365193.454606235</x:v>
      </x:c>
      <x:c r="X19" s="31" t="n">
        <x:f>W19/87779570.23626667</x:f>
        <x:v>0.4256707267309971</x:v>
      </x:c>
      <x:c r="Y19" s="31" t="n">
        <x:f>W19/112000000</x:f>
        <x:v>0.3336177987018414</x:v>
      </x:c>
    </x:row>
    <x:row r="20" ht="15" hidden="0" customHeight="1">
      <x:c r="A20" s="31" t="n">
        <x:v>1.5</x:v>
      </x:c>
      <x:c r="B20" s="31" t="n">
        <x:f>MAX(0,$A20-0.35)</x:f>
        <x:v>1.15</x:v>
      </x:c>
      <x:c r="C20" s="31" t="n">
        <x:f>IF(B20&lt;=0,0,IF(B20&lt;=0.02,0+(0.05-0)*(B20-0)/(0.02-0),IF(B20&lt;=0.05,0.05+(0.25-0.05)*(B20-0.02)/(0.05-0.02),IF(B20&lt;=0.15,0.25+(0.75-0.25)*(B20-0.05)/(0.15-0.05),IF(B20&lt;=0.3,0.75+(0.95-0.75)*(B20-0.15)/(0.3-0.15),IF(B20&lt;=0.6,0.95+(1-0.95)*(B20-0.3)/(0.6-0.3),IF(B20&lt;=1,1+(1-1)*(B20-0.6)/(1-0.6),IF(B20&lt;=1.5,1+(1-1)*(B20-1)/(1.5-1),IF(B20&lt;=2,1+(1-1)*(B20-1.5)/(2-1.5),1)))))))))</x:f>
        <x:v>1</x:v>
      </x:c>
      <x:c r="D20" s="31" t="n">
        <x:f>C20*3230636.6410372383*1.0</x:f>
        <x:v>3230636.6410372383</x:v>
      </x:c>
      <x:c r="E20" s="31" t="n">
        <x:f>MAX(0,$A20-0.4)</x:f>
        <x:v>1.1</x:v>
      </x:c>
      <x:c r="F20" s="31" t="n">
        <x:f>IF(E20&lt;=0,0,IF(E20&lt;=0.02,0+(0.1-0)*(E20-0)/(0.02-0),IF(E20&lt;=0.05,0.1+(0.4-0.1)*(E20-0.02)/(0.05-0.02),IF(E20&lt;=0.15,0.4+(0.85-0.4)*(E20-0.05)/(0.15-0.05),IF(E20&lt;=0.3,0.85+(1-0.85)*(E20-0.15)/(0.3-0.15),IF(E20&lt;=0.6,1+(1-1)*(E20-0.3)/(0.6-0.3),IF(E20&lt;=1,1+(1-1)*(E20-0.6)/(1-0.6),IF(E20&lt;=1.5,1+(1-1)*(E20-1)/(1.5-1),IF(E20&lt;=2,1+(1-1)*(E20-1.5)/(2-1.5),1)))))))))</x:f>
        <x:v>1</x:v>
      </x:c>
      <x:c r="G20" s="31" t="n">
        <x:f>F20*6838526.119402986*1.0</x:f>
        <x:v>6838526.119402986</x:v>
      </x:c>
      <x:c r="H20" s="31" t="n">
        <x:f>MAX(0,$A20-0.45)</x:f>
        <x:v>1.05</x:v>
      </x:c>
      <x:c r="I20" s="31" t="n">
        <x:f>IF(H20&lt;=0,0,IF(H20&lt;=0.02,0+(0.03-0)*(H20-0)/(0.02-0),IF(H20&lt;=0.05,0.03+(0.1-0.03)*(H20-0.02)/(0.05-0.02),IF(H20&lt;=0.15,0.1+(0.25-0.1)*(H20-0.05)/(0.15-0.05),IF(H20&lt;=0.3,0.25+(0.45-0.25)*(H20-0.15)/(0.3-0.15),IF(H20&lt;=0.6,0.45+(0.65-0.45)*(H20-0.3)/(0.6-0.3),IF(H20&lt;=1,0.65+(0.8-0.65)*(H20-0.6)/(1-0.6),IF(H20&lt;=1.5,0.8+(0.95-0.8)*(H20-1)/(1.5-1),IF(H20&lt;=2,0.95+(1-0.95)*(H20-1.5)/(2-1.5),1)))))))))</x:f>
        <x:v>0.8150000000000001</x:v>
      </x:c>
      <x:c r="J20" s="31" t="n">
        <x:f>I20*3811940.298507462*1.0</x:f>
        <x:v>3106731.3432835815</x:v>
      </x:c>
      <x:c r="K20" s="31" t="n">
        <x:f>MAX(0,$A20-0.8)</x:f>
        <x:v>0.7</x:v>
      </x:c>
      <x:c r="L20" s="31" t="n">
        <x:f>IF(K20&lt;=0,0,IF(K20&lt;=0.02,0+(0.1-0)*(K20-0)/(0.02-0),IF(K20&lt;=0.05,0.1+(0.35-0.1)*(K20-0.02)/(0.05-0.02),IF(K20&lt;=0.15,0.35+(0.8-0.35)*(K20-0.05)/(0.15-0.05),IF(K20&lt;=0.3,0.8+(1-0.8)*(K20-0.15)/(0.3-0.15),IF(K20&lt;=0.6,1+(1-1)*(K20-0.3)/(0.6-0.3),IF(K20&lt;=1,1+(1-1)*(K20-0.6)/(1-0.6),IF(K20&lt;=1.5,1+(1-1)*(K20-1)/(1.5-1),IF(K20&lt;=2,1+(1-1)*(K20-1.5)/(2-1.5),1)))))))))</x:f>
        <x:v>1</x:v>
      </x:c>
      <x:c r="M20" s="31" t="n">
        <x:f>L20*682625.0*1.0</x:f>
        <x:v>682625</x:v>
      </x:c>
      <x:c r="N20" s="31" t="n">
        <x:f>MAX(0,$A20-0.5)</x:f>
        <x:v>1</x:v>
      </x:c>
      <x:c r="O20" s="31" t="n">
        <x:f>IF(N20&lt;=0,0,IF(N20&lt;=0.02,0+(0.15-0)*(N20-0)/(0.02-0),IF(N20&lt;=0.05,0.15+(0.45-0.15)*(N20-0.02)/(0.05-0.02),IF(N20&lt;=0.15,0.45+(0.9-0.45)*(N20-0.05)/(0.15-0.05),IF(N20&lt;=0.3,0.9+(1-0.9)*(N20-0.15)/(0.3-0.15),IF(N20&lt;=0.6,1+(1-1)*(N20-0.3)/(0.6-0.3),IF(N20&lt;=1,1+(1-1)*(N20-0.6)/(1-0.6),IF(N20&lt;=1.5,1+(1-1)*(N20-1)/(1.5-1),IF(N20&lt;=2,1+(1-1)*(N20-1.5)/(2-1.5),1)))))))))</x:f>
        <x:v>1</x:v>
      </x:c>
      <x:c r="P20" s="31" t="n">
        <x:f>O20*131000.0*1.0</x:f>
        <x:v>131000</x:v>
      </x:c>
      <x:c r="Q20" s="31" t="n">
        <x:f>MAX(0,$A20-0.0)</x:f>
        <x:v>1.5</x:v>
      </x:c>
      <x:c r="R20" s="31" t="n">
        <x:f>IF(Q20&lt;=0,0,IF(Q20&lt;=0.02,0+(0.02-0)*(Q20-0)/(0.02-0),IF(Q20&lt;=0.05,0.02+(0.05-0.02)*(Q20-0.02)/(0.05-0.02),IF(Q20&lt;=0.15,0.05+(0.1-0.05)*(Q20-0.05)/(0.15-0.05),IF(Q20&lt;=0.3,0.1+(0.15-0.1)*(Q20-0.15)/(0.3-0.15),IF(Q20&lt;=0.6,0.15+(0.25-0.15)*(Q20-0.3)/(0.6-0.3),IF(Q20&lt;=1,0.25+(0.4-0.25)*(Q20-0.6)/(1-0.6),IF(Q20&lt;=1.5,0.4+(0.55-0.4)*(Q20-1)/(1.5-1),IF(Q20&lt;=2,0.55+(0.65-0.55)*(Q20-1.5)/(2-1.5),0.65)))))))))</x:f>
        <x:v>0.55</x:v>
      </x:c>
      <x:c r="S20" s="31" t="n">
        <x:f>R20*6932011.19402985*1.0</x:f>
        <x:v>3812606.156716418</x:v>
      </x:c>
      <x:c r="T20" s="31" t="n">
        <x:f>MAX(0,$A20-1.0)</x:f>
        <x:v>0.5</x:v>
      </x:c>
      <x:c r="U20" s="31" t="n">
        <x:f>IF(T20&lt;=0,0,IF(T20&lt;=0.02,0+(0.05-0)*(T20-0)/(0.02-0),IF(T20&lt;=0.05,0.05+(0.1-0.05)*(T20-0.02)/(0.05-0.02),IF(T20&lt;=0.15,0.1+(0.3-0.1)*(T20-0.05)/(0.15-0.05),IF(T20&lt;=0.3,0.3+(0.6-0.3)*(T20-0.15)/(0.3-0.15),IF(T20&lt;=0.6,0.6+(0.85-0.6)*(T20-0.3)/(0.6-0.3),IF(T20&lt;=1,0.85+(1-0.85)*(T20-0.6)/(1-0.6),IF(T20&lt;=1.5,1+(1-1)*(T20-1)/(1.5-1),IF(T20&lt;=2,1+(1-1)*(T20-1.5)/(2-1.5),1)))))))))</x:f>
        <x:v>0.7666666666666666</x:v>
      </x:c>
      <x:c r="V20" s="31" t="n">
        <x:f>U20*29121485.143992487*1.0</x:f>
        <x:v>22326471.94372757</x:v>
      </x:c>
      <x:c r="W20" s="31" t="n">
        <x:f>SUM(D20,G20,J20,M20,P20,S20,V20)</x:f>
        <x:v>40128597.2041678</x:v>
      </x:c>
      <x:c r="X20" s="31" t="n">
        <x:f>W20/87779570.23626667</x:f>
        <x:v>0.4571518987408806</x:v>
      </x:c>
      <x:c r="Y20" s="31" t="n">
        <x:f>W20/112000000</x:f>
        <x:v>0.3582910464657839</x:v>
      </x:c>
    </x:row>
    <x:row r="21" ht="15" hidden="0" customHeight="1">
      <x:c r="A21" s="31" t="n">
        <x:v>1.6</x:v>
      </x:c>
      <x:c r="B21" s="31" t="n">
        <x:f>MAX(0,$A21-0.35)</x:f>
        <x:v>1.25</x:v>
      </x:c>
      <x:c r="C21" s="31" t="n">
        <x:f>IF(B21&lt;=0,0,IF(B21&lt;=0.02,0+(0.05-0)*(B21-0)/(0.02-0),IF(B21&lt;=0.05,0.05+(0.25-0.05)*(B21-0.02)/(0.05-0.02),IF(B21&lt;=0.15,0.25+(0.75-0.25)*(B21-0.05)/(0.15-0.05),IF(B21&lt;=0.3,0.75+(0.95-0.75)*(B21-0.15)/(0.3-0.15),IF(B21&lt;=0.6,0.95+(1-0.95)*(B21-0.3)/(0.6-0.3),IF(B21&lt;=1,1+(1-1)*(B21-0.6)/(1-0.6),IF(B21&lt;=1.5,1+(1-1)*(B21-1)/(1.5-1),IF(B21&lt;=2,1+(1-1)*(B21-1.5)/(2-1.5),1)))))))))</x:f>
        <x:v>1</x:v>
      </x:c>
      <x:c r="D21" s="31" t="n">
        <x:f>C21*3230636.6410372383*1.0</x:f>
        <x:v>3230636.6410372383</x:v>
      </x:c>
      <x:c r="E21" s="31" t="n">
        <x:f>MAX(0,$A21-0.4)</x:f>
        <x:v>1.2000000000000002</x:v>
      </x:c>
      <x:c r="F21" s="31" t="n">
        <x:f>IF(E21&lt;=0,0,IF(E21&lt;=0.02,0+(0.1-0)*(E21-0)/(0.02-0),IF(E21&lt;=0.05,0.1+(0.4-0.1)*(E21-0.02)/(0.05-0.02),IF(E21&lt;=0.15,0.4+(0.85-0.4)*(E21-0.05)/(0.15-0.05),IF(E21&lt;=0.3,0.85+(1-0.85)*(E21-0.15)/(0.3-0.15),IF(E21&lt;=0.6,1+(1-1)*(E21-0.3)/(0.6-0.3),IF(E21&lt;=1,1+(1-1)*(E21-0.6)/(1-0.6),IF(E21&lt;=1.5,1+(1-1)*(E21-1)/(1.5-1),IF(E21&lt;=2,1+(1-1)*(E21-1.5)/(2-1.5),1)))))))))</x:f>
        <x:v>1</x:v>
      </x:c>
      <x:c r="G21" s="31" t="n">
        <x:f>F21*6838526.119402986*1.0</x:f>
        <x:v>6838526.119402986</x:v>
      </x:c>
      <x:c r="H21" s="31" t="n">
        <x:f>MAX(0,$A21-0.45)</x:f>
        <x:v>1.1500000000000001</x:v>
      </x:c>
      <x:c r="I21" s="31" t="n">
        <x:f>IF(H21&lt;=0,0,IF(H21&lt;=0.02,0+(0.03-0)*(H21-0)/(0.02-0),IF(H21&lt;=0.05,0.03+(0.1-0.03)*(H21-0.02)/(0.05-0.02),IF(H21&lt;=0.15,0.1+(0.25-0.1)*(H21-0.05)/(0.15-0.05),IF(H21&lt;=0.3,0.25+(0.45-0.25)*(H21-0.15)/(0.3-0.15),IF(H21&lt;=0.6,0.45+(0.65-0.45)*(H21-0.3)/(0.6-0.3),IF(H21&lt;=1,0.65+(0.8-0.65)*(H21-0.6)/(1-0.6),IF(H21&lt;=1.5,0.8+(0.95-0.8)*(H21-1)/(1.5-1),IF(H21&lt;=2,0.95+(1-0.95)*(H21-1.5)/(2-1.5),1)))))))))</x:f>
        <x:v>0.8450000000000001</x:v>
      </x:c>
      <x:c r="J21" s="31" t="n">
        <x:f>I21*3811940.298507462*1.0</x:f>
        <x:v>3221089.5522388057</x:v>
      </x:c>
      <x:c r="K21" s="31" t="n">
        <x:f>MAX(0,$A21-0.8)</x:f>
        <x:v>0.8</x:v>
      </x:c>
      <x:c r="L21" s="31" t="n">
        <x:f>IF(K21&lt;=0,0,IF(K21&lt;=0.02,0+(0.1-0)*(K21-0)/(0.02-0),IF(K21&lt;=0.05,0.1+(0.35-0.1)*(K21-0.02)/(0.05-0.02),IF(K21&lt;=0.15,0.35+(0.8-0.35)*(K21-0.05)/(0.15-0.05),IF(K21&lt;=0.3,0.8+(1-0.8)*(K21-0.15)/(0.3-0.15),IF(K21&lt;=0.6,1+(1-1)*(K21-0.3)/(0.6-0.3),IF(K21&lt;=1,1+(1-1)*(K21-0.6)/(1-0.6),IF(K21&lt;=1.5,1+(1-1)*(K21-1)/(1.5-1),IF(K21&lt;=2,1+(1-1)*(K21-1.5)/(2-1.5),1)))))))))</x:f>
        <x:v>1</x:v>
      </x:c>
      <x:c r="M21" s="31" t="n">
        <x:f>L21*682625.0*1.0</x:f>
        <x:v>682625</x:v>
      </x:c>
      <x:c r="N21" s="31" t="n">
        <x:f>MAX(0,$A21-0.5)</x:f>
        <x:v>1.1</x:v>
      </x:c>
      <x:c r="O21" s="31" t="n">
        <x:f>IF(N21&lt;=0,0,IF(N21&lt;=0.02,0+(0.15-0)*(N21-0)/(0.02-0),IF(N21&lt;=0.05,0.15+(0.45-0.15)*(N21-0.02)/(0.05-0.02),IF(N21&lt;=0.15,0.45+(0.9-0.45)*(N21-0.05)/(0.15-0.05),IF(N21&lt;=0.3,0.9+(1-0.9)*(N21-0.15)/(0.3-0.15),IF(N21&lt;=0.6,1+(1-1)*(N21-0.3)/(0.6-0.3),IF(N21&lt;=1,1+(1-1)*(N21-0.6)/(1-0.6),IF(N21&lt;=1.5,1+(1-1)*(N21-1)/(1.5-1),IF(N21&lt;=2,1+(1-1)*(N21-1.5)/(2-1.5),1)))))))))</x:f>
        <x:v>1</x:v>
      </x:c>
      <x:c r="P21" s="31" t="n">
        <x:f>O21*131000.0*1.0</x:f>
        <x:v>131000</x:v>
      </x:c>
      <x:c r="Q21" s="31" t="n">
        <x:f>MAX(0,$A21-0.0)</x:f>
        <x:v>1.6</x:v>
      </x:c>
      <x:c r="R21" s="31" t="n">
        <x:f>IF(Q21&lt;=0,0,IF(Q21&lt;=0.02,0+(0.02-0)*(Q21-0)/(0.02-0),IF(Q21&lt;=0.05,0.02+(0.05-0.02)*(Q21-0.02)/(0.05-0.02),IF(Q21&lt;=0.15,0.05+(0.1-0.05)*(Q21-0.05)/(0.15-0.05),IF(Q21&lt;=0.3,0.1+(0.15-0.1)*(Q21-0.15)/(0.3-0.15),IF(Q21&lt;=0.6,0.15+(0.25-0.15)*(Q21-0.3)/(0.6-0.3),IF(Q21&lt;=1,0.25+(0.4-0.25)*(Q21-0.6)/(1-0.6),IF(Q21&lt;=1.5,0.4+(0.55-0.4)*(Q21-1)/(1.5-1),IF(Q21&lt;=2,0.55+(0.65-0.55)*(Q21-1.5)/(2-1.5),0.65)))))))))</x:f>
        <x:v>0.5700000000000001</x:v>
      </x:c>
      <x:c r="S21" s="31" t="n">
        <x:f>R21*6932011.19402985*1.0</x:f>
        <x:v>3951246.380597015</x:v>
      </x:c>
      <x:c r="T21" s="31" t="n">
        <x:f>MAX(0,$A21-1.0)</x:f>
        <x:v>0.6000000000000001</x:v>
      </x:c>
      <x:c r="U21" s="31" t="n">
        <x:f>IF(T21&lt;=0,0,IF(T21&lt;=0.02,0+(0.05-0)*(T21-0)/(0.02-0),IF(T21&lt;=0.05,0.05+(0.1-0.05)*(T21-0.02)/(0.05-0.02),IF(T21&lt;=0.15,0.1+(0.3-0.1)*(T21-0.05)/(0.15-0.05),IF(T21&lt;=0.3,0.3+(0.6-0.3)*(T21-0.15)/(0.3-0.15),IF(T21&lt;=0.6,0.6+(0.85-0.6)*(T21-0.3)/(0.6-0.3),IF(T21&lt;=1,0.85+(1-0.85)*(T21-0.6)/(1-0.6),IF(T21&lt;=1.5,1+(1-1)*(T21-1)/(1.5-1),IF(T21&lt;=2,1+(1-1)*(T21-1.5)/(2-1.5),1)))))))))</x:f>
        <x:v>0.8500000000000001</x:v>
      </x:c>
      <x:c r="V21" s="31" t="n">
        <x:f>U21*29121485.143992487*1.0</x:f>
        <x:v>24753262.372393616</x:v>
      </x:c>
      <x:c r="W21" s="31" t="n">
        <x:f>SUM(D21,G21,J21,M21,P21,S21,V21)</x:f>
        <x:v>42808386.065669656</x:v>
      </x:c>
      <x:c r="X21" s="31" t="n">
        <x:f>W21/87779570.23626667</x:f>
        <x:v>0.48768051552823743</x:v>
      </x:c>
      <x:c r="Y21" s="31" t="n">
        <x:f>W21/112000000</x:f>
        <x:v>0.38221773272919335</x:v>
      </x:c>
    </x:row>
    <x:row r="22" ht="15" hidden="0" customHeight="1">
      <x:c r="A22" s="31" t="n">
        <x:v>1.7</x:v>
      </x:c>
      <x:c r="B22" s="31" t="n">
        <x:f>MAX(0,$A22-0.35)</x:f>
        <x:v>1.35</x:v>
      </x:c>
      <x:c r="C22" s="31" t="n">
        <x:f>IF(B22&lt;=0,0,IF(B22&lt;=0.02,0+(0.05-0)*(B22-0)/(0.02-0),IF(B22&lt;=0.05,0.05+(0.25-0.05)*(B22-0.02)/(0.05-0.02),IF(B22&lt;=0.15,0.25+(0.75-0.25)*(B22-0.05)/(0.15-0.05),IF(B22&lt;=0.3,0.75+(0.95-0.75)*(B22-0.15)/(0.3-0.15),IF(B22&lt;=0.6,0.95+(1-0.95)*(B22-0.3)/(0.6-0.3),IF(B22&lt;=1,1+(1-1)*(B22-0.6)/(1-0.6),IF(B22&lt;=1.5,1+(1-1)*(B22-1)/(1.5-1),IF(B22&lt;=2,1+(1-1)*(B22-1.5)/(2-1.5),1)))))))))</x:f>
        <x:v>1</x:v>
      </x:c>
      <x:c r="D22" s="31" t="n">
        <x:f>C22*3230636.6410372383*1.0</x:f>
        <x:v>3230636.6410372383</x:v>
      </x:c>
      <x:c r="E22" s="31" t="n">
        <x:f>MAX(0,$A22-0.4)</x:f>
        <x:v>1.2999999999999998</x:v>
      </x:c>
      <x:c r="F22" s="31" t="n">
        <x:f>IF(E22&lt;=0,0,IF(E22&lt;=0.02,0+(0.1-0)*(E22-0)/(0.02-0),IF(E22&lt;=0.05,0.1+(0.4-0.1)*(E22-0.02)/(0.05-0.02),IF(E22&lt;=0.15,0.4+(0.85-0.4)*(E22-0.05)/(0.15-0.05),IF(E22&lt;=0.3,0.85+(1-0.85)*(E22-0.15)/(0.3-0.15),IF(E22&lt;=0.6,1+(1-1)*(E22-0.3)/(0.6-0.3),IF(E22&lt;=1,1+(1-1)*(E22-0.6)/(1-0.6),IF(E22&lt;=1.5,1+(1-1)*(E22-1)/(1.5-1),IF(E22&lt;=2,1+(1-1)*(E22-1.5)/(2-1.5),1)))))))))</x:f>
        <x:v>1</x:v>
      </x:c>
      <x:c r="G22" s="31" t="n">
        <x:f>F22*6838526.119402986*1.0</x:f>
        <x:v>6838526.119402986</x:v>
      </x:c>
      <x:c r="H22" s="31" t="n">
        <x:f>MAX(0,$A22-0.45)</x:f>
        <x:v>1.25</x:v>
      </x:c>
      <x:c r="I22" s="31" t="n">
        <x:f>IF(H22&lt;=0,0,IF(H22&lt;=0.02,0+(0.03-0)*(H22-0)/(0.02-0),IF(H22&lt;=0.05,0.03+(0.1-0.03)*(H22-0.02)/(0.05-0.02),IF(H22&lt;=0.15,0.1+(0.25-0.1)*(H22-0.05)/(0.15-0.05),IF(H22&lt;=0.3,0.25+(0.45-0.25)*(H22-0.15)/(0.3-0.15),IF(H22&lt;=0.6,0.45+(0.65-0.45)*(H22-0.3)/(0.6-0.3),IF(H22&lt;=1,0.65+(0.8-0.65)*(H22-0.6)/(1-0.6),IF(H22&lt;=1.5,0.8+(0.95-0.8)*(H22-1)/(1.5-1),IF(H22&lt;=2,0.95+(1-0.95)*(H22-1.5)/(2-1.5),1)))))))))</x:f>
        <x:v>0.875</x:v>
      </x:c>
      <x:c r="J22" s="31" t="n">
        <x:f>I22*3811940.298507462*1.0</x:f>
        <x:v>3335447.761194029</x:v>
      </x:c>
      <x:c r="K22" s="31" t="n">
        <x:f>MAX(0,$A22-0.8)</x:f>
        <x:v>0.8999999999999999</x:v>
      </x:c>
      <x:c r="L22" s="31" t="n">
        <x:f>IF(K22&lt;=0,0,IF(K22&lt;=0.02,0+(0.1-0)*(K22-0)/(0.02-0),IF(K22&lt;=0.05,0.1+(0.35-0.1)*(K22-0.02)/(0.05-0.02),IF(K22&lt;=0.15,0.35+(0.8-0.35)*(K22-0.05)/(0.15-0.05),IF(K22&lt;=0.3,0.8+(1-0.8)*(K22-0.15)/(0.3-0.15),IF(K22&lt;=0.6,1+(1-1)*(K22-0.3)/(0.6-0.3),IF(K22&lt;=1,1+(1-1)*(K22-0.6)/(1-0.6),IF(K22&lt;=1.5,1+(1-1)*(K22-1)/(1.5-1),IF(K22&lt;=2,1+(1-1)*(K22-1.5)/(2-1.5),1)))))))))</x:f>
        <x:v>1</x:v>
      </x:c>
      <x:c r="M22" s="31" t="n">
        <x:f>L22*682625.0*1.0</x:f>
        <x:v>682625</x:v>
      </x:c>
      <x:c r="N22" s="31" t="n">
        <x:f>MAX(0,$A22-0.5)</x:f>
        <x:v>1.2</x:v>
      </x:c>
      <x:c r="O22" s="31" t="n">
        <x:f>IF(N22&lt;=0,0,IF(N22&lt;=0.02,0+(0.15-0)*(N22-0)/(0.02-0),IF(N22&lt;=0.05,0.15+(0.45-0.15)*(N22-0.02)/(0.05-0.02),IF(N22&lt;=0.15,0.45+(0.9-0.45)*(N22-0.05)/(0.15-0.05),IF(N22&lt;=0.3,0.9+(1-0.9)*(N22-0.15)/(0.3-0.15),IF(N22&lt;=0.6,1+(1-1)*(N22-0.3)/(0.6-0.3),IF(N22&lt;=1,1+(1-1)*(N22-0.6)/(1-0.6),IF(N22&lt;=1.5,1+(1-1)*(N22-1)/(1.5-1),IF(N22&lt;=2,1+(1-1)*(N22-1.5)/(2-1.5),1)))))))))</x:f>
        <x:v>1</x:v>
      </x:c>
      <x:c r="P22" s="31" t="n">
        <x:f>O22*131000.0*1.0</x:f>
        <x:v>131000</x:v>
      </x:c>
      <x:c r="Q22" s="31" t="n">
        <x:f>MAX(0,$A22-0.0)</x:f>
        <x:v>1.7</x:v>
      </x:c>
      <x:c r="R22" s="31" t="n">
        <x:f>IF(Q22&lt;=0,0,IF(Q22&lt;=0.02,0+(0.02-0)*(Q22-0)/(0.02-0),IF(Q22&lt;=0.05,0.02+(0.05-0.02)*(Q22-0.02)/(0.05-0.02),IF(Q22&lt;=0.15,0.05+(0.1-0.05)*(Q22-0.05)/(0.15-0.05),IF(Q22&lt;=0.3,0.1+(0.15-0.1)*(Q22-0.15)/(0.3-0.15),IF(Q22&lt;=0.6,0.15+(0.25-0.15)*(Q22-0.3)/(0.6-0.3),IF(Q22&lt;=1,0.25+(0.4-0.25)*(Q22-0.6)/(1-0.6),IF(Q22&lt;=1.5,0.4+(0.55-0.4)*(Q22-1)/(1.5-1),IF(Q22&lt;=2,0.55+(0.65-0.55)*(Q22-1.5)/(2-1.5),0.65)))))))))</x:f>
        <x:v>0.5900000000000001</x:v>
      </x:c>
      <x:c r="S22" s="31" t="n">
        <x:f>R22*6932011.19402985*1.0</x:f>
        <x:v>4089886.604477612</x:v>
      </x:c>
      <x:c r="T22" s="31" t="n">
        <x:f>MAX(0,$A22-1.0)</x:f>
        <x:v>0.7</x:v>
      </x:c>
      <x:c r="U22" s="31" t="n">
        <x:f>IF(T22&lt;=0,0,IF(T22&lt;=0.02,0+(0.05-0)*(T22-0)/(0.02-0),IF(T22&lt;=0.05,0.05+(0.1-0.05)*(T22-0.02)/(0.05-0.02),IF(T22&lt;=0.15,0.1+(0.3-0.1)*(T22-0.05)/(0.15-0.05),IF(T22&lt;=0.3,0.3+(0.6-0.3)*(T22-0.15)/(0.3-0.15),IF(T22&lt;=0.6,0.6+(0.85-0.6)*(T22-0.3)/(0.6-0.3),IF(T22&lt;=1,0.85+(1-0.85)*(T22-0.6)/(1-0.6),IF(T22&lt;=1.5,1+(1-1)*(T22-1)/(1.5-1),IF(T22&lt;=2,1+(1-1)*(T22-1.5)/(2-1.5),1)))))))))</x:f>
        <x:v>0.8875</x:v>
      </x:c>
      <x:c r="V22" s="31" t="n">
        <x:f>U22*29121485.143992487*1.0</x:f>
        <x:v>25845318.06529333</x:v>
      </x:c>
      <x:c r="W22" s="31" t="n">
        <x:f>SUM(D22,G22,J22,M22,P22,S22,V22)</x:f>
        <x:v>44153440.19140519</x:v>
      </x:c>
      <x:c r="X22" s="31" t="n">
        <x:f>W22/87779570.23626667</x:f>
        <x:v>0.5030036040568688</x:v>
      </x:c>
      <x:c r="Y22" s="31" t="n">
        <x:f>W22/112000000</x:f>
        <x:v>0.3942271445661178</x:v>
      </x:c>
    </x:row>
    <x:row r="23" ht="15" hidden="0" customHeight="1">
      <x:c r="A23" s="31" t="n">
        <x:v>1.8</x:v>
      </x:c>
      <x:c r="B23" s="31" t="n">
        <x:f>MAX(0,$A23-0.35)</x:f>
        <x:v>1.4500000000000002</x:v>
      </x:c>
      <x:c r="C23" s="31" t="n">
        <x:f>IF(B23&lt;=0,0,IF(B23&lt;=0.02,0+(0.05-0)*(B23-0)/(0.02-0),IF(B23&lt;=0.05,0.05+(0.25-0.05)*(B23-0.02)/(0.05-0.02),IF(B23&lt;=0.15,0.25+(0.75-0.25)*(B23-0.05)/(0.15-0.05),IF(B23&lt;=0.3,0.75+(0.95-0.75)*(B23-0.15)/(0.3-0.15),IF(B23&lt;=0.6,0.95+(1-0.95)*(B23-0.3)/(0.6-0.3),IF(B23&lt;=1,1+(1-1)*(B23-0.6)/(1-0.6),IF(B23&lt;=1.5,1+(1-1)*(B23-1)/(1.5-1),IF(B23&lt;=2,1+(1-1)*(B23-1.5)/(2-1.5),1)))))))))</x:f>
        <x:v>1</x:v>
      </x:c>
      <x:c r="D23" s="31" t="n">
        <x:f>C23*3230636.6410372383*1.0</x:f>
        <x:v>3230636.6410372383</x:v>
      </x:c>
      <x:c r="E23" s="31" t="n">
        <x:f>MAX(0,$A23-0.4)</x:f>
        <x:v>1.4</x:v>
      </x:c>
      <x:c r="F23" s="31" t="n">
        <x:f>IF(E23&lt;=0,0,IF(E23&lt;=0.02,0+(0.1-0)*(E23-0)/(0.02-0),IF(E23&lt;=0.05,0.1+(0.4-0.1)*(E23-0.02)/(0.05-0.02),IF(E23&lt;=0.15,0.4+(0.85-0.4)*(E23-0.05)/(0.15-0.05),IF(E23&lt;=0.3,0.85+(1-0.85)*(E23-0.15)/(0.3-0.15),IF(E23&lt;=0.6,1+(1-1)*(E23-0.3)/(0.6-0.3),IF(E23&lt;=1,1+(1-1)*(E23-0.6)/(1-0.6),IF(E23&lt;=1.5,1+(1-1)*(E23-1)/(1.5-1),IF(E23&lt;=2,1+(1-1)*(E23-1.5)/(2-1.5),1)))))))))</x:f>
        <x:v>1</x:v>
      </x:c>
      <x:c r="G23" s="31" t="n">
        <x:f>F23*6838526.119402986*1.0</x:f>
        <x:v>6838526.119402986</x:v>
      </x:c>
      <x:c r="H23" s="31" t="n">
        <x:f>MAX(0,$A23-0.45)</x:f>
        <x:v>1.35</x:v>
      </x:c>
      <x:c r="I23" s="31" t="n">
        <x:f>IF(H23&lt;=0,0,IF(H23&lt;=0.02,0+(0.03-0)*(H23-0)/(0.02-0),IF(H23&lt;=0.05,0.03+(0.1-0.03)*(H23-0.02)/(0.05-0.02),IF(H23&lt;=0.15,0.1+(0.25-0.1)*(H23-0.05)/(0.15-0.05),IF(H23&lt;=0.3,0.25+(0.45-0.25)*(H23-0.15)/(0.3-0.15),IF(H23&lt;=0.6,0.45+(0.65-0.45)*(H23-0.3)/(0.6-0.3),IF(H23&lt;=1,0.65+(0.8-0.65)*(H23-0.6)/(1-0.6),IF(H23&lt;=1.5,0.8+(0.95-0.8)*(H23-1)/(1.5-1),IF(H23&lt;=2,0.95+(1-0.95)*(H23-1.5)/(2-1.5),1)))))))))</x:f>
        <x:v>0.905</x:v>
      </x:c>
      <x:c r="J23" s="31" t="n">
        <x:f>I23*3811940.298507462*1.0</x:f>
        <x:v>3449805.970149253</x:v>
      </x:c>
      <x:c r="K23" s="31" t="n">
        <x:f>MAX(0,$A23-0.8)</x:f>
        <x:v>1</x:v>
      </x:c>
      <x:c r="L23" s="31" t="n">
        <x:f>IF(K23&lt;=0,0,IF(K23&lt;=0.02,0+(0.1-0)*(K23-0)/(0.02-0),IF(K23&lt;=0.05,0.1+(0.35-0.1)*(K23-0.02)/(0.05-0.02),IF(K23&lt;=0.15,0.35+(0.8-0.35)*(K23-0.05)/(0.15-0.05),IF(K23&lt;=0.3,0.8+(1-0.8)*(K23-0.15)/(0.3-0.15),IF(K23&lt;=0.6,1+(1-1)*(K23-0.3)/(0.6-0.3),IF(K23&lt;=1,1+(1-1)*(K23-0.6)/(1-0.6),IF(K23&lt;=1.5,1+(1-1)*(K23-1)/(1.5-1),IF(K23&lt;=2,1+(1-1)*(K23-1.5)/(2-1.5),1)))))))))</x:f>
        <x:v>1</x:v>
      </x:c>
      <x:c r="M23" s="31" t="n">
        <x:f>L23*682625.0*1.0</x:f>
        <x:v>682625</x:v>
      </x:c>
      <x:c r="N23" s="31" t="n">
        <x:f>MAX(0,$A23-0.5)</x:f>
        <x:v>1.3</x:v>
      </x:c>
      <x:c r="O23" s="31" t="n">
        <x:f>IF(N23&lt;=0,0,IF(N23&lt;=0.02,0+(0.15-0)*(N23-0)/(0.02-0),IF(N23&lt;=0.05,0.15+(0.45-0.15)*(N23-0.02)/(0.05-0.02),IF(N23&lt;=0.15,0.45+(0.9-0.45)*(N23-0.05)/(0.15-0.05),IF(N23&lt;=0.3,0.9+(1-0.9)*(N23-0.15)/(0.3-0.15),IF(N23&lt;=0.6,1+(1-1)*(N23-0.3)/(0.6-0.3),IF(N23&lt;=1,1+(1-1)*(N23-0.6)/(1-0.6),IF(N23&lt;=1.5,1+(1-1)*(N23-1)/(1.5-1),IF(N23&lt;=2,1+(1-1)*(N23-1.5)/(2-1.5),1)))))))))</x:f>
        <x:v>1</x:v>
      </x:c>
      <x:c r="P23" s="31" t="n">
        <x:f>O23*131000.0*1.0</x:f>
        <x:v>131000</x:v>
      </x:c>
      <x:c r="Q23" s="31" t="n">
        <x:f>MAX(0,$A23-0.0)</x:f>
        <x:v>1.8</x:v>
      </x:c>
      <x:c r="R23" s="31" t="n">
        <x:f>IF(Q23&lt;=0,0,IF(Q23&lt;=0.02,0+(0.02-0)*(Q23-0)/(0.02-0),IF(Q23&lt;=0.05,0.02+(0.05-0.02)*(Q23-0.02)/(0.05-0.02),IF(Q23&lt;=0.15,0.05+(0.1-0.05)*(Q23-0.05)/(0.15-0.05),IF(Q23&lt;=0.3,0.1+(0.15-0.1)*(Q23-0.15)/(0.3-0.15),IF(Q23&lt;=0.6,0.15+(0.25-0.15)*(Q23-0.3)/(0.6-0.3),IF(Q23&lt;=1,0.25+(0.4-0.25)*(Q23-0.6)/(1-0.6),IF(Q23&lt;=1.5,0.4+(0.55-0.4)*(Q23-1)/(1.5-1),IF(Q23&lt;=2,0.55+(0.65-0.55)*(Q23-1.5)/(2-1.5),0.65)))))))))</x:f>
        <x:v>0.6100000000000001</x:v>
      </x:c>
      <x:c r="S23" s="31" t="n">
        <x:f>R23*6932011.19402985*1.0</x:f>
        <x:v>4228526.828358209</x:v>
      </x:c>
      <x:c r="T23" s="31" t="n">
        <x:f>MAX(0,$A23-1.0)</x:f>
        <x:v>0.8</x:v>
      </x:c>
      <x:c r="U23" s="31" t="n">
        <x:f>IF(T23&lt;=0,0,IF(T23&lt;=0.02,0+(0.05-0)*(T23-0)/(0.02-0),IF(T23&lt;=0.05,0.05+(0.1-0.05)*(T23-0.02)/(0.05-0.02),IF(T23&lt;=0.15,0.1+(0.3-0.1)*(T23-0.05)/(0.15-0.05),IF(T23&lt;=0.3,0.3+(0.6-0.3)*(T23-0.15)/(0.3-0.15),IF(T23&lt;=0.6,0.6+(0.85-0.6)*(T23-0.3)/(0.6-0.3),IF(T23&lt;=1,0.85+(1-0.85)*(T23-0.6)/(1-0.6),IF(T23&lt;=1.5,1+(1-1)*(T23-1)/(1.5-1),IF(T23&lt;=2,1+(1-1)*(T23-1.5)/(2-1.5),1)))))))))</x:f>
        <x:v>0.925</x:v>
      </x:c>
      <x:c r="V23" s="31" t="n">
        <x:f>U23*29121485.143992487*1.0</x:f>
        <x:v>26937373.758193053</x:v>
      </x:c>
      <x:c r="W23" s="31" t="n">
        <x:f>SUM(D23,G23,J23,M23,P23,S23,V23)</x:f>
        <x:v>45498494.31714074</x:v>
      </x:c>
      <x:c r="X23" s="31" t="n">
        <x:f>W23/87779570.23626667</x:f>
        <x:v>0.5183266925855005</x:v>
      </x:c>
      <x:c r="Y23" s="31" t="n">
        <x:f>W23/112000000</x:f>
        <x:v>0.40623655640304235</x:v>
      </x:c>
    </x:row>
    <x:row r="24" ht="15" hidden="0" customHeight="1">
      <x:c r="A24" s="31" t="n">
        <x:v>1.9</x:v>
      </x:c>
      <x:c r="B24" s="31" t="n">
        <x:f>MAX(0,$A24-0.35)</x:f>
        <x:v>1.5499999999999998</x:v>
      </x:c>
      <x:c r="C24" s="31" t="n">
        <x:f>IF(B24&lt;=0,0,IF(B24&lt;=0.02,0+(0.05-0)*(B24-0)/(0.02-0),IF(B24&lt;=0.05,0.05+(0.25-0.05)*(B24-0.02)/(0.05-0.02),IF(B24&lt;=0.15,0.25+(0.75-0.25)*(B24-0.05)/(0.15-0.05),IF(B24&lt;=0.3,0.75+(0.95-0.75)*(B24-0.15)/(0.3-0.15),IF(B24&lt;=0.6,0.95+(1-0.95)*(B24-0.3)/(0.6-0.3),IF(B24&lt;=1,1+(1-1)*(B24-0.6)/(1-0.6),IF(B24&lt;=1.5,1+(1-1)*(B24-1)/(1.5-1),IF(B24&lt;=2,1+(1-1)*(B24-1.5)/(2-1.5),1)))))))))</x:f>
        <x:v>1</x:v>
      </x:c>
      <x:c r="D24" s="31" t="n">
        <x:f>C24*3230636.6410372383*1.0</x:f>
        <x:v>3230636.6410372383</x:v>
      </x:c>
      <x:c r="E24" s="31" t="n">
        <x:f>MAX(0,$A24-0.4)</x:f>
        <x:v>1.5</x:v>
      </x:c>
      <x:c r="F24" s="31" t="n">
        <x:f>IF(E24&lt;=0,0,IF(E24&lt;=0.02,0+(0.1-0)*(E24-0)/(0.02-0),IF(E24&lt;=0.05,0.1+(0.4-0.1)*(E24-0.02)/(0.05-0.02),IF(E24&lt;=0.15,0.4+(0.85-0.4)*(E24-0.05)/(0.15-0.05),IF(E24&lt;=0.3,0.85+(1-0.85)*(E24-0.15)/(0.3-0.15),IF(E24&lt;=0.6,1+(1-1)*(E24-0.3)/(0.6-0.3),IF(E24&lt;=1,1+(1-1)*(E24-0.6)/(1-0.6),IF(E24&lt;=1.5,1+(1-1)*(E24-1)/(1.5-1),IF(E24&lt;=2,1+(1-1)*(E24-1.5)/(2-1.5),1)))))))))</x:f>
        <x:v>1</x:v>
      </x:c>
      <x:c r="G24" s="31" t="n">
        <x:f>F24*6838526.119402986*1.0</x:f>
        <x:v>6838526.119402986</x:v>
      </x:c>
      <x:c r="H24" s="31" t="n">
        <x:f>MAX(0,$A24-0.45)</x:f>
        <x:v>1.45</x:v>
      </x:c>
      <x:c r="I24" s="31" t="n">
        <x:f>IF(H24&lt;=0,0,IF(H24&lt;=0.02,0+(0.03-0)*(H24-0)/(0.02-0),IF(H24&lt;=0.05,0.03+(0.1-0.03)*(H24-0.02)/(0.05-0.02),IF(H24&lt;=0.15,0.1+(0.25-0.1)*(H24-0.05)/(0.15-0.05),IF(H24&lt;=0.3,0.25+(0.45-0.25)*(H24-0.15)/(0.3-0.15),IF(H24&lt;=0.6,0.45+(0.65-0.45)*(H24-0.3)/(0.6-0.3),IF(H24&lt;=1,0.65+(0.8-0.65)*(H24-0.6)/(1-0.6),IF(H24&lt;=1.5,0.8+(0.95-0.8)*(H24-1)/(1.5-1),IF(H24&lt;=2,0.95+(1-0.95)*(H24-1.5)/(2-1.5),1)))))))))</x:f>
        <x:v>0.9349999999999999</x:v>
      </x:c>
      <x:c r="J24" s="31" t="n">
        <x:f>I24*3811940.298507462*1.0</x:f>
        <x:v>3564164.1791044767</x:v>
      </x:c>
      <x:c r="K24" s="31" t="n">
        <x:f>MAX(0,$A24-0.8)</x:f>
        <x:v>1.0999999999999999</x:v>
      </x:c>
      <x:c r="L24" s="31" t="n">
        <x:f>IF(K24&lt;=0,0,IF(K24&lt;=0.02,0+(0.1-0)*(K24-0)/(0.02-0),IF(K24&lt;=0.05,0.1+(0.35-0.1)*(K24-0.02)/(0.05-0.02),IF(K24&lt;=0.15,0.35+(0.8-0.35)*(K24-0.05)/(0.15-0.05),IF(K24&lt;=0.3,0.8+(1-0.8)*(K24-0.15)/(0.3-0.15),IF(K24&lt;=0.6,1+(1-1)*(K24-0.3)/(0.6-0.3),IF(K24&lt;=1,1+(1-1)*(K24-0.6)/(1-0.6),IF(K24&lt;=1.5,1+(1-1)*(K24-1)/(1.5-1),IF(K24&lt;=2,1+(1-1)*(K24-1.5)/(2-1.5),1)))))))))</x:f>
        <x:v>1</x:v>
      </x:c>
      <x:c r="M24" s="31" t="n">
        <x:f>L24*682625.0*1.0</x:f>
        <x:v>682625</x:v>
      </x:c>
      <x:c r="N24" s="31" t="n">
        <x:f>MAX(0,$A24-0.5)</x:f>
        <x:v>1.4</x:v>
      </x:c>
      <x:c r="O24" s="31" t="n">
        <x:f>IF(N24&lt;=0,0,IF(N24&lt;=0.02,0+(0.15-0)*(N24-0)/(0.02-0),IF(N24&lt;=0.05,0.15+(0.45-0.15)*(N24-0.02)/(0.05-0.02),IF(N24&lt;=0.15,0.45+(0.9-0.45)*(N24-0.05)/(0.15-0.05),IF(N24&lt;=0.3,0.9+(1-0.9)*(N24-0.15)/(0.3-0.15),IF(N24&lt;=0.6,1+(1-1)*(N24-0.3)/(0.6-0.3),IF(N24&lt;=1,1+(1-1)*(N24-0.6)/(1-0.6),IF(N24&lt;=1.5,1+(1-1)*(N24-1)/(1.5-1),IF(N24&lt;=2,1+(1-1)*(N24-1.5)/(2-1.5),1)))))))))</x:f>
        <x:v>1</x:v>
      </x:c>
      <x:c r="P24" s="31" t="n">
        <x:f>O24*131000.0*1.0</x:f>
        <x:v>131000</x:v>
      </x:c>
      <x:c r="Q24" s="31" t="n">
        <x:f>MAX(0,$A24-0.0)</x:f>
        <x:v>1.9</x:v>
      </x:c>
      <x:c r="R24" s="31" t="n">
        <x:f>IF(Q24&lt;=0,0,IF(Q24&lt;=0.02,0+(0.02-0)*(Q24-0)/(0.02-0),IF(Q24&lt;=0.05,0.02+(0.05-0.02)*(Q24-0.02)/(0.05-0.02),IF(Q24&lt;=0.15,0.05+(0.1-0.05)*(Q24-0.05)/(0.15-0.05),IF(Q24&lt;=0.3,0.1+(0.15-0.1)*(Q24-0.15)/(0.3-0.15),IF(Q24&lt;=0.6,0.15+(0.25-0.15)*(Q24-0.3)/(0.6-0.3),IF(Q24&lt;=1,0.25+(0.4-0.25)*(Q24-0.6)/(1-0.6),IF(Q24&lt;=1.5,0.4+(0.55-0.4)*(Q24-1)/(1.5-1),IF(Q24&lt;=2,0.55+(0.65-0.55)*(Q24-1.5)/(2-1.5),0.65)))))))))</x:f>
        <x:v>0.63</x:v>
      </x:c>
      <x:c r="S24" s="31" t="n">
        <x:f>R24*6932011.19402985*1.0</x:f>
        <x:v>4367167.052238805</x:v>
      </x:c>
      <x:c r="T24" s="31" t="n">
        <x:f>MAX(0,$A24-1.0)</x:f>
        <x:v>0.8999999999999999</x:v>
      </x:c>
      <x:c r="U24" s="31" t="n">
        <x:f>IF(T24&lt;=0,0,IF(T24&lt;=0.02,0+(0.05-0)*(T24-0)/(0.02-0),IF(T24&lt;=0.05,0.05+(0.1-0.05)*(T24-0.02)/(0.05-0.02),IF(T24&lt;=0.15,0.1+(0.3-0.1)*(T24-0.05)/(0.15-0.05),IF(T24&lt;=0.3,0.3+(0.6-0.3)*(T24-0.15)/(0.3-0.15),IF(T24&lt;=0.6,0.6+(0.85-0.6)*(T24-0.3)/(0.6-0.3),IF(T24&lt;=1,0.85+(1-0.85)*(T24-0.6)/(1-0.6),IF(T24&lt;=1.5,1+(1-1)*(T24-1)/(1.5-1),IF(T24&lt;=2,1+(1-1)*(T24-1.5)/(2-1.5),1)))))))))</x:f>
        <x:v>0.9624999999999999</x:v>
      </x:c>
      <x:c r="V24" s="31" t="n">
        <x:f>U24*29121485.143992487*1.0</x:f>
        <x:v>28029429.451092765</x:v>
      </x:c>
      <x:c r="W24" s="31" t="n">
        <x:f>SUM(D24,G24,J24,M24,P24,S24,V24)</x:f>
        <x:v>46843548.44287627</x:v>
      </x:c>
      <x:c r="X24" s="31" t="n">
        <x:f>W24/87779570.23626667</x:f>
        <x:v>0.5336497811141319</x:v>
      </x:c>
      <x:c r="Y24" s="31" t="n">
        <x:f>W24/112000000</x:f>
        <x:v>0.41824596823996674</x:v>
      </x:c>
    </x:row>
    <x:row r="25" ht="15" hidden="0" customHeight="1">
      <x:c r="A25" s="31" t="n">
        <x:v>2</x:v>
      </x:c>
      <x:c r="B25" s="31" t="n">
        <x:f>MAX(0,$A25-0.35)</x:f>
        <x:v>1.65</x:v>
      </x:c>
      <x:c r="C25" s="31" t="n">
        <x:f>IF(B25&lt;=0,0,IF(B25&lt;=0.02,0+(0.05-0)*(B25-0)/(0.02-0),IF(B25&lt;=0.05,0.05+(0.25-0.05)*(B25-0.02)/(0.05-0.02),IF(B25&lt;=0.15,0.25+(0.75-0.25)*(B25-0.05)/(0.15-0.05),IF(B25&lt;=0.3,0.75+(0.95-0.75)*(B25-0.15)/(0.3-0.15),IF(B25&lt;=0.6,0.95+(1-0.95)*(B25-0.3)/(0.6-0.3),IF(B25&lt;=1,1+(1-1)*(B25-0.6)/(1-0.6),IF(B25&lt;=1.5,1+(1-1)*(B25-1)/(1.5-1),IF(B25&lt;=2,1+(1-1)*(B25-1.5)/(2-1.5),1)))))))))</x:f>
        <x:v>1</x:v>
      </x:c>
      <x:c r="D25" s="31" t="n">
        <x:f>C25*3230636.6410372383*1.0</x:f>
        <x:v>3230636.6410372383</x:v>
      </x:c>
      <x:c r="E25" s="31" t="n">
        <x:f>MAX(0,$A25-0.4)</x:f>
        <x:v>1.6</x:v>
      </x:c>
      <x:c r="F25" s="31" t="n">
        <x:f>IF(E25&lt;=0,0,IF(E25&lt;=0.02,0+(0.1-0)*(E25-0)/(0.02-0),IF(E25&lt;=0.05,0.1+(0.4-0.1)*(E25-0.02)/(0.05-0.02),IF(E25&lt;=0.15,0.4+(0.85-0.4)*(E25-0.05)/(0.15-0.05),IF(E25&lt;=0.3,0.85+(1-0.85)*(E25-0.15)/(0.3-0.15),IF(E25&lt;=0.6,1+(1-1)*(E25-0.3)/(0.6-0.3),IF(E25&lt;=1,1+(1-1)*(E25-0.6)/(1-0.6),IF(E25&lt;=1.5,1+(1-1)*(E25-1)/(1.5-1),IF(E25&lt;=2,1+(1-1)*(E25-1.5)/(2-1.5),1)))))))))</x:f>
        <x:v>1</x:v>
      </x:c>
      <x:c r="G25" s="31" t="n">
        <x:f>F25*6838526.119402986*1.0</x:f>
        <x:v>6838526.119402986</x:v>
      </x:c>
      <x:c r="H25" s="31" t="n">
        <x:f>MAX(0,$A25-0.45)</x:f>
        <x:v>1.55</x:v>
      </x:c>
      <x:c r="I25" s="31" t="n">
        <x:f>IF(H25&lt;=0,0,IF(H25&lt;=0.02,0+(0.03-0)*(H25-0)/(0.02-0),IF(H25&lt;=0.05,0.03+(0.1-0.03)*(H25-0.02)/(0.05-0.02),IF(H25&lt;=0.15,0.1+(0.25-0.1)*(H25-0.05)/(0.15-0.05),IF(H25&lt;=0.3,0.25+(0.45-0.25)*(H25-0.15)/(0.3-0.15),IF(H25&lt;=0.6,0.45+(0.65-0.45)*(H25-0.3)/(0.6-0.3),IF(H25&lt;=1,0.65+(0.8-0.65)*(H25-0.6)/(1-0.6),IF(H25&lt;=1.5,0.8+(0.95-0.8)*(H25-1)/(1.5-1),IF(H25&lt;=2,0.95+(1-0.95)*(H25-1.5)/(2-1.5),1)))))))))</x:f>
        <x:v>0.955</x:v>
      </x:c>
      <x:c r="J25" s="31" t="n">
        <x:f>I25*3811940.298507462*1.0</x:f>
        <x:v>3640402.985074626</x:v>
      </x:c>
      <x:c r="K25" s="31" t="n">
        <x:f>MAX(0,$A25-0.8)</x:f>
        <x:v>1.2</x:v>
      </x:c>
      <x:c r="L25" s="31" t="n">
        <x:f>IF(K25&lt;=0,0,IF(K25&lt;=0.02,0+(0.1-0)*(K25-0)/(0.02-0),IF(K25&lt;=0.05,0.1+(0.35-0.1)*(K25-0.02)/(0.05-0.02),IF(K25&lt;=0.15,0.35+(0.8-0.35)*(K25-0.05)/(0.15-0.05),IF(K25&lt;=0.3,0.8+(1-0.8)*(K25-0.15)/(0.3-0.15),IF(K25&lt;=0.6,1+(1-1)*(K25-0.3)/(0.6-0.3),IF(K25&lt;=1,1+(1-1)*(K25-0.6)/(1-0.6),IF(K25&lt;=1.5,1+(1-1)*(K25-1)/(1.5-1),IF(K25&lt;=2,1+(1-1)*(K25-1.5)/(2-1.5),1)))))))))</x:f>
        <x:v>1</x:v>
      </x:c>
      <x:c r="M25" s="31" t="n">
        <x:f>L25*682625.0*1.0</x:f>
        <x:v>682625</x:v>
      </x:c>
      <x:c r="N25" s="31" t="n">
        <x:f>MAX(0,$A25-0.5)</x:f>
        <x:v>1.5</x:v>
      </x:c>
      <x:c r="O25" s="31" t="n">
        <x:f>IF(N25&lt;=0,0,IF(N25&lt;=0.02,0+(0.15-0)*(N25-0)/(0.02-0),IF(N25&lt;=0.05,0.15+(0.45-0.15)*(N25-0.02)/(0.05-0.02),IF(N25&lt;=0.15,0.45+(0.9-0.45)*(N25-0.05)/(0.15-0.05),IF(N25&lt;=0.3,0.9+(1-0.9)*(N25-0.15)/(0.3-0.15),IF(N25&lt;=0.6,1+(1-1)*(N25-0.3)/(0.6-0.3),IF(N25&lt;=1,1+(1-1)*(N25-0.6)/(1-0.6),IF(N25&lt;=1.5,1+(1-1)*(N25-1)/(1.5-1),IF(N25&lt;=2,1+(1-1)*(N25-1.5)/(2-1.5),1)))))))))</x:f>
        <x:v>1</x:v>
      </x:c>
      <x:c r="P25" s="31" t="n">
        <x:f>O25*131000.0*1.0</x:f>
        <x:v>131000</x:v>
      </x:c>
      <x:c r="Q25" s="31" t="n">
        <x:f>MAX(0,$A25-0.0)</x:f>
        <x:v>2</x:v>
      </x:c>
      <x:c r="R25" s="31" t="n">
        <x:f>IF(Q25&lt;=0,0,IF(Q25&lt;=0.02,0+(0.02-0)*(Q25-0)/(0.02-0),IF(Q25&lt;=0.05,0.02+(0.05-0.02)*(Q25-0.02)/(0.05-0.02),IF(Q25&lt;=0.15,0.05+(0.1-0.05)*(Q25-0.05)/(0.15-0.05),IF(Q25&lt;=0.3,0.1+(0.15-0.1)*(Q25-0.15)/(0.3-0.15),IF(Q25&lt;=0.6,0.15+(0.25-0.15)*(Q25-0.3)/(0.6-0.3),IF(Q25&lt;=1,0.25+(0.4-0.25)*(Q25-0.6)/(1-0.6),IF(Q25&lt;=1.5,0.4+(0.55-0.4)*(Q25-1)/(1.5-1),IF(Q25&lt;=2,0.55+(0.65-0.55)*(Q25-1.5)/(2-1.5),0.65)))))))))</x:f>
        <x:v>0.65</x:v>
      </x:c>
      <x:c r="S25" s="31" t="n">
        <x:f>R25*6932011.19402985*1.0</x:f>
        <x:v>4505807.276119403</x:v>
      </x:c>
      <x:c r="T25" s="31" t="n">
        <x:f>MAX(0,$A25-1.0)</x:f>
        <x:v>1</x:v>
      </x:c>
      <x:c r="U25" s="31" t="n">
        <x:f>IF(T25&lt;=0,0,IF(T25&lt;=0.02,0+(0.05-0)*(T25-0)/(0.02-0),IF(T25&lt;=0.05,0.05+(0.1-0.05)*(T25-0.02)/(0.05-0.02),IF(T25&lt;=0.15,0.1+(0.3-0.1)*(T25-0.05)/(0.15-0.05),IF(T25&lt;=0.3,0.3+(0.6-0.3)*(T25-0.15)/(0.3-0.15),IF(T25&lt;=0.6,0.6+(0.85-0.6)*(T25-0.3)/(0.6-0.3),IF(T25&lt;=1,0.85+(1-0.85)*(T25-0.6)/(1-0.6),IF(T25&lt;=1.5,1+(1-1)*(T25-1)/(1.5-1),IF(T25&lt;=2,1+(1-1)*(T25-1.5)/(2-1.5),1)))))))))</x:f>
        <x:v>1</x:v>
      </x:c>
      <x:c r="V25" s="31" t="n">
        <x:f>U25*29121485.143992487*1.0</x:f>
        <x:v>29121485.143992487</x:v>
      </x:c>
      <x:c r="W25" s="31" t="n">
        <x:f>SUM(D25,G25,J25,M25,P25,S25,V25)</x:f>
        <x:v>48150483.16562674</x:v>
      </x:c>
      <x:c r="X25" s="31" t="n">
        <x:f>W25/87779570.23626667</x:f>
        <x:v>0.5485386068310126</x:v>
      </x:c>
      <x:c r="Y25" s="31" t="n">
        <x:f>W25/112000000</x:f>
        <x:v>0.4299150282645245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9c48139d4fd0433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6" customHeight="1">
      <x:c r="A1" s="6" t="str">
        <x:v>Flood × Solar v1.0 Dashboard</x:v>
      </x:c>
    </x:row>
    <x:row r="2" ht="42" customHeight="1">
      <x:c r="A2" s="14" t="str">
        <x:v>Shows local depth → component DR, site depth → %TIV, and value contribution at the default site flood depth.</x:v>
      </x:c>
    </x:row>
    <x:row r="4">
      <x:c r="A4" s="22" t="str">
        <x:v>KPI</x:v>
      </x:c>
      <x:c r="B4" s="22" t="str">
        <x:v>Value</x:v>
      </x:c>
      <x:c r="C4" s="22" t="str">
        <x:v>Notes</x:v>
      </x:c>
    </x:row>
    <x:row r="5">
      <x:c r="A5" s="28" t="str">
        <x:v>Default site flood depth</x:v>
      </x:c>
      <x:c r="B5" s="54" t="n">
        <x:v>1</x:v>
      </x:c>
      <x:c r="C5" s="28" t="str">
        <x:v>m above local grade</x:v>
      </x:c>
    </x:row>
    <x:row r="6">
      <x:c r="A6" s="28" t="str">
        <x:v>Installed TIV</x:v>
      </x:c>
      <x:c r="B6" s="54" t="n">
        <x:v>112000000</x:v>
      </x:c>
      <x:c r="C6" s="28" t="str">
        <x:v>Default 100 MWdc solar basis</x:v>
      </x:c>
    </x:row>
    <x:row r="7">
      <x:c r="A7" s="28" t="str">
        <x:v>Physical base</x:v>
      </x:c>
      <x:c r="B7" s="54" t="n">
        <x:v>87779570.23626667</x:v>
      </x:c>
      <x:c r="C7" s="28" t="str">
        <x:v>Physical replaceable base</x:v>
      </x:c>
    </x:row>
    <x:row r="8">
      <x:c r="A8" s="28" t="str">
        <x:v>Primary modeling axis</x:v>
      </x:c>
      <x:c r="B8" s="28" t="str">
        <x:v>local depth above component datum</x:v>
      </x:c>
      <x:c r="C8" s="28" t="str">
        <x:v>h_i = max(0, WSE - z_i_crit)</x:v>
      </x:c>
    </x:row>
    <x:row r="9">
      <x:c r="A9" s="28" t="str">
        <x:v>Curve form</x:v>
      </x:c>
      <x:c r="B9" s="28" t="str">
        <x:v>piecewise-linear state curve</x:v>
      </x:c>
      <x:c r="C9" s="28" t="str">
        <x:v>Source-anchored, not claims-calibrated</x:v>
      </x:c>
    </x:row>
    <x:row r="12">
      <x:c r="A12" s="22" t="str">
        <x:v>failure_unit</x:v>
      </x:c>
      <x:c r="B12" s="22" t="str">
        <x:v>local_depth_m</x:v>
      </x:c>
      <x:c r="C12" s="22" t="str">
        <x:v>DR</x:v>
      </x:c>
      <x:c r="D12" s="22" t="str">
        <x:v>loss_$</x:v>
      </x:c>
      <x:c r="E12" s="22" t="str">
        <x:v>%TIV</x:v>
      </x:c>
    </x:row>
    <x:row r="13">
      <x:c r="A13" s="28" t="str">
        <x:v>FS_INV</x:v>
      </x:c>
      <x:c r="B13" s="56" t="n">
        <x:f>Site_Applied_Loss!B15</x:f>
        <x:v>0.65</x:v>
      </x:c>
      <x:c r="C13" s="57" t="n">
        <x:f>Site_Applied_Loss!C15</x:f>
        <x:v>1</x:v>
      </x:c>
      <x:c r="D13" s="54" t="n">
        <x:f>Site_Applied_Loss!D15</x:f>
        <x:v>3230636.6410372383</x:v>
      </x:c>
      <x:c r="E13" s="58" t="n">
        <x:f>D13/112000000</x:f>
        <x:v>0.028844970009261055</x:v>
      </x:c>
    </x:row>
    <x:row r="14">
      <x:c r="A14" s="28" t="str">
        <x:v>FS_SWG</x:v>
      </x:c>
      <x:c r="B14" s="56" t="n">
        <x:f>Site_Applied_Loss!E15</x:f>
        <x:v>0.6</x:v>
      </x:c>
      <x:c r="C14" s="57" t="n">
        <x:f>Site_Applied_Loss!F15</x:f>
        <x:v>1</x:v>
      </x:c>
      <x:c r="D14" s="54" t="n">
        <x:f>Site_Applied_Loss!G15</x:f>
        <x:v>6838526.119402986</x:v>
      </x:c>
      <x:c r="E14" s="58" t="n">
        <x:f>D14/112000000</x:f>
        <x:v>0.06105826892324095</x:v>
      </x:c>
    </x:row>
    <x:row r="15">
      <x:c r="A15" s="28" t="str">
        <x:v>FS_XFMR</x:v>
      </x:c>
      <x:c r="B15" s="56" t="n">
        <x:f>Site_Applied_Loss!H15</x:f>
        <x:v>0.55</x:v>
      </x:c>
      <x:c r="C15" s="57" t="n">
        <x:f>Site_Applied_Loss!I15</x:f>
        <x:v>0.6166666666666667</x:v>
      </x:c>
      <x:c r="D15" s="54" t="n">
        <x:f>Site_Applied_Loss!J15</x:f>
        <x:v>2350696.517412935</x:v>
      </x:c>
      <x:c r="E15" s="58" t="n">
        <x:f>D15/112000000</x:f>
        <x:v>0.02098836176261549</x:v>
      </x:c>
    </x:row>
    <x:row r="16">
      <x:c r="A16" s="28" t="str">
        <x:v>FS_COMB</x:v>
      </x:c>
      <x:c r="B16" s="56" t="n">
        <x:f>Site_Applied_Loss!K15</x:f>
        <x:v>0.19999999999999996</x:v>
      </x:c>
      <x:c r="C16" s="57" t="n">
        <x:f>Site_Applied_Loss!L15</x:f>
        <x:v>0.8666666666666667</x:v>
      </x:c>
      <x:c r="D16" s="54" t="n">
        <x:f>Site_Applied_Loss!M15</x:f>
        <x:v>591608.3333333334</x:v>
      </x:c>
      <x:c r="E16" s="58" t="n">
        <x:f>D16/112000000</x:f>
        <x:v>0.005282217261904762</x:v>
      </x:c>
    </x:row>
    <x:row r="17">
      <x:c r="A17" s="28" t="str">
        <x:v>FS_SCADA</x:v>
      </x:c>
      <x:c r="B17" s="56" t="n">
        <x:f>Site_Applied_Loss!N15</x:f>
        <x:v>0.5</x:v>
      </x:c>
      <x:c r="C17" s="57" t="n">
        <x:f>Site_Applied_Loss!O15</x:f>
        <x:v>1</x:v>
      </x:c>
      <x:c r="D17" s="54" t="n">
        <x:f>Site_Applied_Loss!P15</x:f>
        <x:v>131000</x:v>
      </x:c>
      <x:c r="E17" s="58" t="n">
        <x:f>D17/112000000</x:f>
        <x:v>0.0011696428571428572</x:v>
      </x:c>
    </x:row>
    <x:row r="18">
      <x:c r="A18" s="28" t="str">
        <x:v>FS_CABLE</x:v>
      </x:c>
      <x:c r="B18" s="56" t="n">
        <x:f>Site_Applied_Loss!Q15</x:f>
        <x:v>1</x:v>
      </x:c>
      <x:c r="C18" s="57" t="n">
        <x:f>Site_Applied_Loss!R15</x:f>
        <x:v>0.4</x:v>
      </x:c>
      <x:c r="D18" s="54" t="n">
        <x:f>Site_Applied_Loss!S15</x:f>
        <x:v>2772804.4776119404</x:v>
      </x:c>
      <x:c r="E18" s="58" t="n">
        <x:f>D18/112000000</x:f>
        <x:v>0.024757182835820898</x:v>
      </x:c>
    </x:row>
    <x:row r="19">
      <x:c r="A19" s="28" t="str">
        <x:v>FS_PVMOD</x:v>
      </x:c>
      <x:c r="B19" s="56" t="n">
        <x:f>Site_Applied_Loss!T15</x:f>
        <x:v>0</x:v>
      </x:c>
      <x:c r="C19" s="57" t="n">
        <x:f>Site_Applied_Loss!U15</x:f>
        <x:v>0</x:v>
      </x:c>
      <x:c r="D19" s="54" t="n">
        <x:f>Site_Applied_Loss!V15</x:f>
        <x:v>0</x:v>
      </x:c>
      <x:c r="E19" s="58" t="n">
        <x:f>D19/112000000</x:f>
        <x:v>0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f83096a92a5545a0"/>
</x:worksheet>
</file>

<file path=xl/worksheets/sheet1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80" hidden="0" customWidth="1"/>
  </x:cols>
  <x:sheetData>
    <x:row r="1" ht="26" customHeight="1">
      <x:c r="A1" s="6" t="str">
        <x:v>Flood v1.0 QA Checks</x:v>
      </x:c>
    </x:row>
    <x:row r="2" ht="42" customHeight="1">
      <x:c r="A2" s="14" t="str">
        <x:v>Governance checks for the v1.0 derived curve package.</x:v>
      </x:c>
    </x:row>
    <x:row r="4">
      <x:c r="A4" s="22" t="str">
        <x:v>Check</x:v>
      </x:c>
      <x:c r="B4" s="22" t="str">
        <x:v>Status</x:v>
      </x:c>
      <x:c r="C4" s="22" t="str">
        <x:v>Notes</x:v>
      </x:c>
    </x:row>
    <x:row r="5">
      <x:c r="A5" s="28" t="str">
        <x:v>No whole-plant curve</x:v>
      </x:c>
      <x:c r="B5" s="28" t="str">
        <x:v>PASS</x:v>
      </x:c>
      <x:c r="C5" s="28" t="str">
        <x:v>Curves are failure-unit specific.</x:v>
      </x:c>
    </x:row>
    <x:row r="6">
      <x:c r="A6" s="28" t="str">
        <x:v>X-axis local to component</x:v>
      </x:c>
      <x:c r="B6" s="28" t="str">
        <x:v>PASS</x:v>
      </x:c>
      <x:c r="C6" s="28" t="str">
        <x:v>Electrical x-axis is local depth above critical datum.</x:v>
      </x:c>
    </x:row>
    <x:row r="7">
      <x:c r="A7" s="28" t="str">
        <x:v>Velocity/scour split</x:v>
      </x:c>
      <x:c r="B7" s="28" t="str">
        <x:v>PASS</x:v>
      </x:c>
      <x:c r="C7" s="28" t="str">
        <x:v>Foundation/scour is not forced into the depth curve.</x:v>
      </x:c>
    </x:row>
    <x:row r="8">
      <x:c r="A8" s="28" t="str">
        <x:v>Sources mapped to parameters</x:v>
      </x:c>
      <x:c r="B8" s="28" t="str">
        <x:v>PASS</x:v>
      </x:c>
      <x:c r="C8" s="28" t="str">
        <x:v>See Flood_Evidence_Params.</x:v>
      </x:c>
    </x:row>
    <x:row r="9">
      <x:c r="A9" s="28" t="str">
        <x:v>Curve form alternatives documented</x:v>
      </x:c>
      <x:c r="B9" s="28" t="str">
        <x:v>PASS</x:v>
      </x:c>
      <x:c r="C9" s="28" t="str">
        <x:v>See Flood_Adjustment_Rules and derivation dossier.</x:v>
      </x:c>
    </x:row>
    <x:row r="10">
      <x:c r="A10" s="28" t="str">
        <x:v>Value basis explicit</x:v>
      </x:c>
      <x:c r="B10" s="28" t="str">
        <x:v>PASS</x:v>
      </x:c>
      <x:c r="C10" s="28" t="str">
        <x:v>Value_Link carries physical value and shares.</x:v>
      </x:c>
    </x:row>
    <x:row r="11">
      <x:c r="A11" s="28" t="str">
        <x:v>EAL/tail avoided</x:v>
      </x:c>
      <x:c r="B11" s="28" t="str">
        <x:v>PASS</x:v>
      </x:c>
      <x:c r="C11" s="28" t="str">
        <x:v>Workbook is severity/value-link only; downstream engine handles metrics.</x:v>
      </x:c>
    </x:row>
    <x:row r="12">
      <x:c r="A12" s="28" t="str">
        <x:v>Open seams flagged</x:v>
      </x:c>
      <x:c r="B12" s="28" t="str">
        <x:v>PASS</x:v>
      </x:c>
      <x:c r="C12" s="28" t="str">
        <x:v>Conduit path, duration, contamination, exact equipment elevation, claims calibration.</x:v>
      </x:c>
    </x:row>
  </x:sheetData>
  <x:mergeCells>
    <x:mergeCell ref="A1:H1"/>
    <x:mergeCell ref="A2:H2"/>
  </x:mergeCells>
  <x:conditionalFormatting sqref="B5:B12">
    <x:cfRule type="expression" dxfId="0" priority="1">
      <x:formula>B5="PASS"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70" hidden="0" customWidth="1"/>
    <x:col min="5" max="5" width="70" hidden="0" customWidth="1"/>
  </x:cols>
  <x:sheetData>
    <x:row r="1" ht="26" customHeight="1">
      <x:c r="A1" s="6" t="str">
        <x:v>Sources and Links</x:v>
      </x:c>
    </x:row>
    <x:row r="2" ht="42" customHeight="1">
      <x:c r="A2" s="14" t="str">
        <x:v>Plain-text URLs for every source used in this workbook. Web citations belong in the narrative response; workbook cells carry raw URLs.</x:v>
      </x:c>
    </x:row>
    <x:row r="4" ht="15" hidden="0" customHeight="1">
      <x:c r="A4" s="30" t="str">
        <x:v>source_id</x:v>
      </x:c>
      <x:c r="B4" s="30" t="str">
        <x:v>publisher</x:v>
      </x:c>
      <x:c r="C4" s="30" t="str">
        <x:v>title</x:v>
      </x:c>
      <x:c r="D4" s="30" t="str">
        <x:v>url</x:v>
      </x:c>
      <x:c r="E4" s="30" t="str">
        <x:v>used_for</x:v>
      </x:c>
    </x:row>
    <x:row r="5" ht="15" hidden="0" customHeight="1">
      <x:c r="A5" s="31" t="str">
        <x:v>DOE_FEMP_PV_FLOOD</x:v>
      </x:c>
      <x:c r="B5" s="31" t="str">
        <x:v>DOE/FEMP</x:v>
      </x:c>
      <x:c r="C5" s="31" t="str">
        <x:v>Preventing and Mitigating Flood Damage to Solar Photovoltaic Systems</x:v>
      </x:c>
      <x:c r="D5" s="31" t="str">
        <x:v>https://www.energy.gov/femp/preventing-and-mitigating-flood-damage-solar-photovoltaic-systems</x:v>
      </x:c>
      <x:c r="E5" s="31" t="str">
        <x:v>Solar-specific flood pathways: total submersion, raising equipment, conduit water paths, enclosure ratings, stormwater/scour measures.</x:v>
      </x:c>
    </x:row>
    <x:row r="6" ht="15" hidden="0" customHeight="1">
      <x:c r="A6" s="31" t="str">
        <x:v>NEMA_GD1_2019</x:v>
      </x:c>
      <x:c r="B6" s="31" t="str">
        <x:v>NEMA</x:v>
      </x:c>
      <x:c r="C6" s="31" t="str">
        <x:v>Evaluating Water-Damaged Electrical Equipment (GD 1-2019)</x:v>
      </x:c>
      <x:c r="D6" s="31" t="str">
        <x:v>https://www.nema.org/standards/view/evaluating-water-damaged-electrical-equipment</x:v>
      </x:c>
      <x:c r="E6" s="31" t="str">
        <x:v>Replacement/reconditioning logic for water-exposed electrical distribution, power equipment, transformers, cables, electronic products.</x:v>
      </x:c>
    </x:row>
    <x:row r="7" ht="15" hidden="0" customHeight="1">
      <x:c r="A7" s="31" t="str">
        <x:v>NEMA_GD1_2016_PDF</x:v>
      </x:c>
      <x:c r="B7" s="31" t="str">
        <x:v>NEMA</x:v>
      </x:c>
      <x:c r="C7" s="31" t="str">
        <x:v>Evaluating Water-Damaged Electrical Equipment Guide PDF</x:v>
      </x:c>
      <x:c r="D7" s="31" t="str">
        <x:v>https://www.nema.org/docs/default-source/standards-document-library/nema-gd-1-2016-evaluating-water-damaged-electrical-equipment-guide.pdf</x:v>
      </x:c>
      <x:c r="E7" s="31" t="str">
        <x:v>Open PDF with detailed table of replace vs recondition categories.</x:v>
      </x:c>
    </x:row>
    <x:row r="8" ht="15" hidden="0" customHeight="1">
      <x:c r="A8" s="31" t="str">
        <x:v>NEMA_ENCLOSURE_TYPES</x:v>
      </x:c>
      <x:c r="B8" s="31" t="str">
        <x:v>NEMA</x:v>
      </x:c>
      <x:c r="C8" s="31" t="str">
        <x:v>NEMA Enclosure Types</x:v>
      </x:c>
      <x:c r="D8" s="31" t="str">
        <x:v>https://www.nema.org/docs/default-source/products-document-library/nema-enclosure-types.pdf</x:v>
      </x:c>
      <x:c r="E8" s="31" t="str">
        <x:v>Distinguishes rain/hosedown ratings from temporary/prolonged submersion protection.</x:v>
      </x:c>
    </x:row>
    <x:row r="9" ht="15" hidden="0" customHeight="1">
      <x:c r="A9" s="31" t="str">
        <x:v>FEMA_P348</x:v>
      </x:c>
      <x:c r="B9" s="31" t="str">
        <x:v>FEMA / Building America Solution Center</x:v>
      </x:c>
      <x:c r="C9" s="31" t="str">
        <x:v>Protecting Building Utility Systems From Flood Damage</x:v>
      </x:c>
      <x:c r="D9" s="31" t="str">
        <x:v>https://basc.pnnl.gov/library/protecting-building-utility-systems-flood-damage-principles-and-practices-design-and</x:v>
      </x:c>
      <x:c r="E9" s="31" t="str">
        <x:v>Utility-system elevation/protection framing; not solar-specific curves.</x:v>
      </x:c>
    </x:row>
    <x:row r="10" ht="15" hidden="0" customHeight="1">
      <x:c r="A10" s="31" t="str">
        <x:v>USACE_HEC_FIA</x:v>
      </x:c>
      <x:c r="B10" s="31" t="str">
        <x:v>USACE HEC</x:v>
      </x:c>
      <x:c r="C10" s="31" t="str">
        <x:v>Depth-Percent Damage Relationships</x:v>
      </x:c>
      <x:c r="D10" s="31" t="str">
        <x:v>https://www.hec.usace.army.mil/confluence/fiadocs/fiatechref/latest/direct-damage/depth-percent-damage-relationships-direct-damage</x:v>
      </x:c>
      <x:c r="E10" s="31" t="str">
        <x:v>Supports tabular depth-percent damage relationship and interpolation approach.</x:v>
      </x:c>
    </x:row>
    <x:row r="11" ht="15" hidden="0" customHeight="1">
      <x:c r="A11" s="31" t="str">
        <x:v>SOLAR_VALUATION</x:v>
      </x:c>
      <x:c r="B11" s="31" t="str">
        <x:v>Internal workbook</x:v>
      </x:c>
      <x:c r="C11" s="31" t="str">
        <x:v>solar_wind_value_breakdown.xlsx</x:v>
      </x:c>
      <x:c r="D11" s="31" t="str">
        <x:v>source_context/solar_wind_value_breakdown.xlsx</x:v>
      </x:c>
      <x:c r="E11" s="31" t="str">
        <x:v>Value-link basis for subsystem/component dollar caps.</x:v>
      </x:c>
    </x:row>
    <x:row r="12" ht="15" hidden="0" customHeight="1">
      <x:c r="A12" s="31" t="str">
        <x:v>SUBSTRATE</x:v>
      </x:c>
      <x:c r="B12" s="31" t="str">
        <x:v>Internal substrate doc</x:v>
      </x:c>
      <x:c r="C12" s="31" t="str">
        <x:v>substrate_decomposition.md</x:v>
      </x:c>
      <x:c r="D12" s="31" t="str">
        <x:v>99_source_context/substrate_decomposition.md</x:v>
      </x:c>
      <x:c r="E12" s="31" t="str">
        <x:v>Solar subsystem/component vocabulary.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2fb0cec89dd49ce"/>
  </x:tableParts>
</x:worksheet>
</file>