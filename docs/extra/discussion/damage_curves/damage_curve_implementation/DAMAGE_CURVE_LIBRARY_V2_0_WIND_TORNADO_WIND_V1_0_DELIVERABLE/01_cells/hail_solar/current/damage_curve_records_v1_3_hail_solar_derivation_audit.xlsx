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drawings/charts/chart3.xml" ContentType="application/vnd.openxmlformats-officedocument.drawingml.char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worksheets/sheet25.xml" ContentType="application/vnd.openxmlformats-officedocument.spreadsheetml.worksheet+xml"/>
  <Override PartName="/xl/worksheets/sheet26.xml" ContentType="application/vnd.openxmlformats-officedocument.spreadsheetml.worksheet+xml"/>
  <Override PartName="/xl/tables/table17.xml" ContentType="application/vnd.openxmlformats-officedocument.spreadsheetml.table+xml"/>
  <Override PartName="/xl/worksheets/sheet27.xml" ContentType="application/vnd.openxmlformats-officedocument.spreadsheetml.worksheet+xml"/>
  <Override PartName="/xl/tables/table18.xml" ContentType="application/vnd.openxmlformats-officedocument.spreadsheetml.table+xml"/>
  <Override PartName="/xl/worksheets/sheet28.xml" ContentType="application/vnd.openxmlformats-officedocument.spreadsheetml.worksheet+xml"/>
  <Override PartName="/xl/tables/table19.xml" ContentType="application/vnd.openxmlformats-officedocument.spreadsheetml.table+xml"/>
  <Override PartName="/xl/worksheets/sheet29.xml" ContentType="application/vnd.openxmlformats-officedocument.spreadsheetml.worksheet+xml"/>
  <Override PartName="/xl/tables/table20.xml" ContentType="application/vnd.openxmlformats-officedocument.spreadsheetml.table+xml"/>
  <Override PartName="/xl/worksheets/sheet30.xml" ContentType="application/vnd.openxmlformats-officedocument.spreadsheetml.worksheet+xml"/>
  <Override PartName="/xl/tables/table21.xml" ContentType="application/vnd.openxmlformats-officedocument.spreadsheetml.table+xml"/>
  <Override PartName="/xl/worksheets/sheet31.xml" ContentType="application/vnd.openxmlformats-officedocument.spreadsheetml.worksheet+xml"/>
  <Override PartName="/xl/tables/table22.xml" ContentType="application/vnd.openxmlformats-officedocument.spreadsheetml.table+xml"/>
  <Override PartName="/xl/worksheets/sheet32.xml" ContentType="application/vnd.openxmlformats-officedocument.spreadsheetml.worksheet+xml"/>
  <Override PartName="/xl/tables/table23.xml" ContentType="application/vnd.openxmlformats-officedocument.spreadsheetml.table+xml"/>
  <Override PartName="/xl/worksheets/sheet33.xml" ContentType="application/vnd.openxmlformats-officedocument.spreadsheetml.worksheet+xml"/>
  <Override PartName="/xl/drawings/drawing4.xml" ContentType="application/vnd.openxmlformats-officedocument.drawing+xml"/>
  <Override PartName="/xl/drawings/charts/chart8.xml" ContentType="application/vnd.openxmlformats-officedocument.drawingml.chart+xml"/>
  <Override PartName="/xl/drawings/charts/chart9.xml" ContentType="application/vnd.openxmlformats-officedocument.drawingml.chart+xml"/>
  <Override PartName="/xl/drawings/charts/chart10.xml" ContentType="application/vnd.openxmlformats-officedocument.drawingml.chart+xml"/>
  <Override PartName="/xl/drawings/charts/chart11.xml" ContentType="application/vnd.openxmlformats-officedocument.drawingml.chart+xml"/>
  <Override PartName="/xl/drawings/charts/chart12.xml" ContentType="application/vnd.openxmlformats-officedocument.drawingml.chart+xml"/>
  <Override PartName="/xl/drawings/charts/chart13.xml" ContentType="application/vnd.openxmlformats-officedocument.drawingml.chart+xml"/>
  <Override PartName="/xl/worksheets/sheet34.xml" ContentType="application/vnd.openxmlformats-officedocument.spreadsheetml.worksheet+xml"/>
  <Override PartName="/xl/tables/table24.xml" ContentType="application/vnd.openxmlformats-officedocument.spreadsheetml.table+xml"/>
  <Override PartName="/xl/worksheets/sheet35.xml" ContentType="application/vnd.openxmlformats-officedocument.spreadsheetml.worksheet+xml"/>
  <Override PartName="/xl/tables/table25.xml" ContentType="application/vnd.openxmlformats-officedocument.spreadsheetml.table+xml"/>
  <Override PartName="/xl/worksheets/sheet36.xml" ContentType="application/vnd.openxmlformats-officedocument.spreadsheetml.worksheet+xml"/>
  <Override PartName="/xl/tables/table26.xml" ContentType="application/vnd.openxmlformats-officedocument.spreadsheetml.table+xml"/>
  <Override PartName="/xl/worksheets/sheet37.xml" ContentType="application/vnd.openxmlformats-officedocument.spreadsheetml.worksheet+xml"/>
  <Override PartName="/xl/tables/table27.xml" ContentType="application/vnd.openxmlformats-officedocument.spreadsheetml.table+xml"/>
  <Override PartName="/xl/worksheets/sheet38.xml" ContentType="application/vnd.openxmlformats-officedocument.spreadsheetml.worksheet+xml"/>
  <Override PartName="/xl/tables/table28.xml" ContentType="application/vnd.openxmlformats-officedocument.spreadsheetml.table+xml"/>
  <Override PartName="/xl/worksheets/sheet39.xml" ContentType="application/vnd.openxmlformats-officedocument.spreadsheetml.worksheet+xml"/>
  <Override PartName="/xl/tables/table29.xml" ContentType="application/vnd.openxmlformats-officedocument.spreadsheetml.table+xml"/>
  <Override PartName="/xl/worksheets/sheet40.xml" ContentType="application/vnd.openxmlformats-officedocument.spreadsheetml.worksheet+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worksheets/sheet41.xml" ContentType="application/vnd.openxmlformats-officedocument.spreadsheetml.worksheet+xml"/>
  <Override PartName="/xl/tables/table33.xml" ContentType="application/vnd.openxmlformats-officedocument.spreadsheetml.table+xml"/>
  <Override PartName="/xl/tables/table34.xml" ContentType="application/vnd.openxmlformats-officedocument.spreadsheetml.table+xml"/>
  <Override PartName="/xl/worksheets/sheet42.xml" ContentType="application/vnd.openxmlformats-officedocument.spreadsheetml.worksheet+xml"/>
  <Override PartName="/xl/tables/table35.xml" ContentType="application/vnd.openxmlformats-officedocument.spreadsheetml.table+xml"/>
  <Override PartName="/xl/tables/table36.xml" ContentType="application/vnd.openxmlformats-officedocument.spreadsheetml.table+xml"/>
  <Override PartName="/xl/worksheets/sheet43.xml" ContentType="application/vnd.openxmlformats-officedocument.spreadsheetml.worksheet+xml"/>
  <Override PartName="/xl/tables/table3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68ace5805c24779" /></Relationships>
</file>

<file path=xl/workbook.xml><?xml version="1.0" encoding="utf-8"?>
<x:workbook xmlns:x="http://schemas.openxmlformats.org/spreadsheetml/2006/main">
  <x:sheets>
    <x:sheet xmlns:r="http://schemas.openxmlformats.org/officeDocument/2006/relationships" name="README_SHORT" sheetId="1" r:id="R1da6b9c623d04876"/>
    <x:sheet xmlns:r="http://schemas.openxmlformats.org/officeDocument/2006/relationships" name="Asset_Inputs" sheetId="2" r:id="Rbb8772507b2548c3"/>
    <x:sheet xmlns:r="http://schemas.openxmlformats.org/officeDocument/2006/relationships" name="Cell_Index" sheetId="3" r:id="R6ec8a4534b984a23"/>
    <x:sheet xmlns:r="http://schemas.openxmlformats.org/officeDocument/2006/relationships" name="Record_Schema" sheetId="4" r:id="R9ca74c8642394728"/>
    <x:sheet xmlns:r="http://schemas.openxmlformats.org/officeDocument/2006/relationships" name="Governed_By_Map" sheetId="5" r:id="Ra75d8680d7b44216"/>
    <x:sheet xmlns:r="http://schemas.openxmlformats.org/officeDocument/2006/relationships" name="Value_Link" sheetId="6" r:id="Rc3664e2ae1b24384"/>
    <x:sheet xmlns:r="http://schemas.openxmlformats.org/officeDocument/2006/relationships" name="Curve_Records" sheetId="7" r:id="R3a30a7a7605c4923"/>
    <x:sheet xmlns:r="http://schemas.openxmlformats.org/officeDocument/2006/relationships" name="X_Axis_Map" sheetId="8" r:id="R81d98f008b084139"/>
    <x:sheet xmlns:r="http://schemas.openxmlformats.org/officeDocument/2006/relationships" name="Conditioners_Selectors" sheetId="9" r:id="R9e04876f2b52422d"/>
    <x:sheet xmlns:r="http://schemas.openxmlformats.org/officeDocument/2006/relationships" name="Curve_Params" sheetId="10" r:id="R70fdc7df666e418d"/>
    <x:sheet xmlns:r="http://schemas.openxmlformats.org/officeDocument/2006/relationships" name="Evidence_Log" sheetId="11" r:id="R98a115fbdd6741ef"/>
    <x:sheet xmlns:r="http://schemas.openxmlformats.org/officeDocument/2006/relationships" name="Cap_Binding_Preflight" sheetId="12" r:id="R7bcb2a11f0a54925"/>
    <x:sheet xmlns:r="http://schemas.openxmlformats.org/officeDocument/2006/relationships" name="Emit_Metrics" sheetId="13" r:id="Rb39fe27f5d0f4d91"/>
    <x:sheet xmlns:r="http://schemas.openxmlformats.org/officeDocument/2006/relationships" name="Cell_Assembly" sheetId="14" r:id="R247fec753a164a4d"/>
    <x:sheet xmlns:r="http://schemas.openxmlformats.org/officeDocument/2006/relationships" name="QA_Checks" sheetId="15" r:id="R8516e9c180e647c1"/>
    <x:sheet xmlns:r="http://schemas.openxmlformats.org/officeDocument/2006/relationships" name="Open_Seams_Index" sheetId="16" r:id="R05e887f96edb48a4"/>
    <x:sheet xmlns:r="http://schemas.openxmlformats.org/officeDocument/2006/relationships" name="Sources" sheetId="17" r:id="R2668c23d5b534bba"/>
    <x:sheet xmlns:r="http://schemas.openxmlformats.org/officeDocument/2006/relationships" name="Lists" sheetId="18" r:id="R0c1611d628dd4bf7"/>
    <x:sheet xmlns:r="http://schemas.openxmlformats.org/officeDocument/2006/relationships" name="Axis_Bridges" sheetId="19" r:id="Rb6b4edf3e1104b39"/>
    <x:sheet xmlns:r="http://schemas.openxmlformats.org/officeDocument/2006/relationships" name="Hail_Solar_Curve_Plot" sheetId="20" r:id="R62278be8bb8c4600"/>
    <x:sheet xmlns:r="http://schemas.openxmlformats.org/officeDocument/2006/relationships" name="Hail_Solar_Curve_Data" sheetId="21" r:id="Reb802c5942824327"/>
    <x:sheet xmlns:r="http://schemas.openxmlformats.org/officeDocument/2006/relationships" name="Hail_V1_Derivation" sheetId="22" r:id="Rbee88dc7405e4ff8"/>
    <x:sheet xmlns:r="http://schemas.openxmlformats.org/officeDocument/2006/relationships" name="Hail_V1_Data" sheetId="23" r:id="R699ecaf95b674804"/>
    <x:sheet xmlns:r="http://schemas.openxmlformats.org/officeDocument/2006/relationships" name="Hail_V1_Dashboard" sheetId="24" r:id="R788e1852ab144efa"/>
    <x:sheet xmlns:r="http://schemas.openxmlformats.org/officeDocument/2006/relationships" name="Hail_V1_QA" sheetId="25" r:id="R9d5d09d7feed4f83"/>
    <x:sheet xmlns:r="http://schemas.openxmlformats.org/officeDocument/2006/relationships" name="Hail_Site_Inputs" sheetId="26" r:id="R27cc93f34fa44a8e"/>
    <x:sheet xmlns:r="http://schemas.openxmlformats.org/officeDocument/2006/relationships" name="Hail_Conditioning" sheetId="27" r:id="Ra17ad2a8e92c48eb"/>
    <x:sheet xmlns:r="http://schemas.openxmlformats.org/officeDocument/2006/relationships" name="Hail_Hazard_Frequency" sheetId="28" r:id="R4a99e18534864e98"/>
    <x:sheet xmlns:r="http://schemas.openxmlformats.org/officeDocument/2006/relationships" name="Hail_Site_Loss" sheetId="29" r:id="R57073c7a2c894b70"/>
    <x:sheet xmlns:r="http://schemas.openxmlformats.org/officeDocument/2006/relationships" name="Hail_Return_Period_Loss" sheetId="30" r:id="Re8f2a89c7ab24377"/>
    <x:sheet xmlns:r="http://schemas.openxmlformats.org/officeDocument/2006/relationships" name="Hail_EAL_By_Bin" sheetId="31" r:id="R7d56c0c3eba04d59"/>
    <x:sheet xmlns:r="http://schemas.openxmlformats.org/officeDocument/2006/relationships" name="Hail_Sensitivity" sheetId="32" r:id="R8a1a5e071b8c4372"/>
    <x:sheet xmlns:r="http://schemas.openxmlformats.org/officeDocument/2006/relationships" name="Hail_V1_1_Dashboard" sheetId="33" r:id="Rfb52cbb960b645e0"/>
    <x:sheet xmlns:r="http://schemas.openxmlformats.org/officeDocument/2006/relationships" name="Hail_V1_1_QA" sheetId="34" r:id="Rf4ad44afaa234d1a"/>
    <x:sheet xmlns:r="http://schemas.openxmlformats.org/officeDocument/2006/relationships" name="Hail_Solar_Coverage" sheetId="35" r:id="Rd383d79d15e44235"/>
    <x:sheet xmlns:r="http://schemas.openxmlformats.org/officeDocument/2006/relationships" name="Damage_Code_Interface" sheetId="36" r:id="R78948302485e4a72"/>
    <x:sheet xmlns:r="http://schemas.openxmlformats.org/officeDocument/2006/relationships" name="Selector_Conditioner_Map" sheetId="37" r:id="R932b58798b3a4994"/>
    <x:sheet xmlns:r="http://schemas.openxmlformats.org/officeDocument/2006/relationships" name="Hail_Derivation_Index" sheetId="38" r:id="Rb2bf84632bf640d0"/>
    <x:sheet xmlns:r="http://schemas.openxmlformats.org/officeDocument/2006/relationships" name="Hail_Evidence_Params" sheetId="39" r:id="R837a91fb722d4ef4"/>
    <x:sheet xmlns:r="http://schemas.openxmlformats.org/officeDocument/2006/relationships" name="Hail_Base_Curve_Fit" sheetId="40" r:id="R36208483b116401d"/>
    <x:sheet xmlns:r="http://schemas.openxmlformats.org/officeDocument/2006/relationships" name="Hail_Adjustment_Rules" sheetId="41" r:id="R849a5b812d034446"/>
    <x:sheet xmlns:r="http://schemas.openxmlformats.org/officeDocument/2006/relationships" name="Hail_Variant_Catalog" sheetId="42" r:id="R3813b929b9f248c9"/>
    <x:sheet xmlns:r="http://schemas.openxmlformats.org/officeDocument/2006/relationships" name="Hail_Assumption_Register" sheetId="43" r:id="R26589d85666b473f"/>
  </x:sheets>
</x:workbook>
</file>

<file path=xl/sharedStrings.xml><?xml version="1.0" encoding="utf-8"?>
<x:sst xmlns:x="http://schemas.openxmlformats.org/spreadsheetml/2006/main"/>
</file>

<file path=xl/styles.xml><?xml version="1.0" encoding="utf-8"?>
<x:styleSheet xmlns:x="http://schemas.openxmlformats.org/spreadsheetml/2006/main">
  <x:numFmts count="10">
    <x:numFmt numFmtId="200" formatCode="#,##0.00"/>
    <x:numFmt numFmtId="201" formatCode="$#,##0"/>
    <x:numFmt numFmtId="202" formatCode="0.0%"/>
    <x:numFmt numFmtId="203" formatCode="0.00"/>
    <x:numFmt numFmtId="204" formatCode="0"/>
    <x:numFmt numFmtId="205" formatCode="0.000"/>
    <x:numFmt numFmtId="206" formatCode="0.0000"/>
    <x:numFmt numFmtId="207" formatCode="0.0"/>
    <x:numFmt numFmtId="208" formatCode="0.000%"/>
    <x:numFmt numFmtId="209" formatCode="0.000000"/>
  </x:numFmts>
  <x:fonts count="21">
    <x:font>
      <x:sz val="11"/>
      <x:name val="Carlito"/>
    </x:font>
    <x:font>
      <x:b/>
      <x:sz val="16"/>
      <x:color rgb="FFFFFFFF"/>
      <x:name val="Carlito"/>
    </x:font>
    <x:font>
      <x:b/>
      <x:sz val="11"/>
      <x:color rgb="FFFFFFFF"/>
      <x:name val="Carlito"/>
    </x:font>
    <x:font>
      <x:b/>
      <x:sz val="10"/>
      <x:color rgb="FFFFFFFF"/>
      <x:name val="Carlito"/>
    </x:font>
    <x:font>
      <x:sz val="10"/>
      <x:name val="Carlito"/>
    </x:font>
    <x:font>
      <x:b/>
      <x:sz val="14"/>
      <x:color rgb="FFFFFFFF"/>
      <x:name val="Carlito"/>
    </x:font>
    <x:font>
      <x:b/>
      <x:sz val="11"/>
      <x:name val="Carlito"/>
    </x:font>
    <x:font>
      <x:i/>
      <x:sz val="11"/>
      <x:color rgb="FF374151"/>
      <x:name val="Carlito"/>
    </x:font>
    <x:font>
      <x:b/>
      <x:sz val="11"/>
      <x:color rgb="FF111827"/>
      <x:name val="Carlito"/>
    </x:font>
    <x:font>
      <x:sz val="11"/>
      <x:color rgb="FF111827"/>
      <x:name val="Carlito"/>
    </x:font>
    <x:font>
      <x:i/>
      <x:sz val="11"/>
      <x:color rgb="FF1F2937"/>
      <x:name val="Carlito"/>
    </x:font>
    <x:font>
      <x:b/>
      <x:sz val="11"/>
      <x:color rgb="FF1F2937"/>
      <x:name val="Carlito"/>
    </x:font>
    <x:font>
      <x:sz val="11"/>
      <x:color rgb="FF1F2937"/>
      <x:name val="Carlito"/>
    </x:font>
    <x:font>
      <x:sz val="11"/>
      <x:color rgb="FF1F2937"/>
      <x:name val="Carlito"/>
    </x:font>
    <x:font>
      <x:sz val="11"/>
      <x:color rgb="FF7F6000"/>
      <x:name val="Carlito"/>
    </x:font>
    <x:font>
      <x:i/>
      <x:sz val="11"/>
      <x:color rgb="FF7F6000"/>
      <x:name val="Carlito"/>
    </x:font>
    <x:font>
      <x:b/>
      <x:sz val="11"/>
      <x:color rgb="FF1F4E79"/>
      <x:name val="Carlito"/>
    </x:font>
    <x:font>
      <x:sz val="10"/>
      <x:name val="Courier New"/>
    </x:font>
    <x:font>
      <x:i/>
      <x:sz val="11"/>
      <x:color rgb="FF7A4E00"/>
      <x:name val="Carlito"/>
    </x:font>
    <x:font>
      <x:b/>
      <x:sz val="11"/>
      <x:color rgb="FF0F172A"/>
      <x:name val="Carlito"/>
    </x:font>
    <x:font>
      <x:sz val="10"/>
      <x:name val="Consolas"/>
    </x:font>
  </x:fonts>
  <x:fills count="30">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0F766E"/>
      </x:patternFill>
    </x:fill>
    <x:fill>
      <x:patternFill patternType="solid">
        <x:fgColor rgb="FF0B5D5E"/>
      </x:patternFill>
    </x:fill>
    <x:fill>
      <x:patternFill patternType="solid">
        <x:fgColor rgb="FFECFDF5"/>
      </x:patternFill>
    </x:fill>
    <x:fill>
      <x:patternFill patternType="solid">
        <x:fgColor rgb="FF111827"/>
      </x:patternFill>
    </x:fill>
    <x:fill>
      <x:patternFill patternType="solid">
        <x:fgColor rgb="FFF3F4F6"/>
      </x:patternFill>
    </x:fill>
    <x:fill>
      <x:patternFill patternType="solid">
        <x:fgColor rgb="FF1F2937"/>
      </x:patternFill>
    </x:fill>
    <x:fill>
      <x:patternFill patternType="solid">
        <x:fgColor rgb="FFD1D5DB"/>
      </x:patternFill>
    </x:fill>
    <x:fill>
      <x:patternFill patternType="solid">
        <x:fgColor rgb="FFFEF3C7"/>
      </x:patternFill>
    </x:fill>
    <x:fill>
      <x:patternFill patternType="solid">
        <x:fgColor rgb="FF0F172A"/>
      </x:patternFill>
    </x:fill>
    <x:fill>
      <x:patternFill patternType="solid">
        <x:fgColor rgb="FF1F4E78"/>
      </x:patternFill>
    </x:fill>
    <x:fill>
      <x:patternFill patternType="solid">
        <x:fgColor rgb="FF1F4E79"/>
      </x:patternFill>
    </x:fill>
    <x:fill>
      <x:patternFill patternType="solid">
        <x:fgColor rgb="FFD9EAF7"/>
      </x:patternFill>
    </x:fill>
    <x:fill>
      <x:patternFill patternType="solid">
        <x:fgColor rgb="FF2F75B5"/>
      </x:patternFill>
    </x:fill>
    <x:fill>
      <x:patternFill patternType="solid">
        <x:fgColor rgb="FFE2F0D9"/>
      </x:patternFill>
    </x:fill>
    <x:fill>
      <x:patternFill patternType="solid">
        <x:fgColor rgb="FFFFF2CC"/>
      </x:patternFill>
    </x:fill>
    <x:fill>
      <x:patternFill patternType="solid">
        <x:fgColor rgb="FFEAF2F8"/>
      </x:patternFill>
    </x:fill>
    <x:fill>
      <x:patternFill patternType="solid">
        <x:fgColor rgb="FF1F4E79"/>
      </x:patternFill>
    </x:fill>
    <x:fill>
      <x:patternFill patternType="solid">
        <x:fgColor rgb="FFFFF2CC"/>
      </x:patternFill>
    </x:fill>
    <x:fill>
      <x:patternFill patternType="solid">
        <x:fgColor rgb="FF5B9BD5"/>
      </x:patternFill>
    </x:fill>
    <x:fill>
      <x:patternFill patternType="solid">
        <x:fgColor rgb="FFEAF2F8"/>
      </x:patternFill>
    </x:fill>
    <x:fill>
      <x:patternFill patternType="solid">
        <x:fgColor rgb="FFD9EAF7"/>
      </x:patternFill>
    </x:fill>
    <x:fill>
      <x:patternFill patternType="solid">
        <x:fgColor rgb="FFF3F6F9"/>
      </x:patternFill>
    </x:fill>
    <x:fill>
      <x:patternFill patternType="solid">
        <x:fgColor rgb="FF0F172A"/>
      </x:patternFill>
    </x:fill>
    <x:fill>
      <x:patternFill patternType="solid">
        <x:fgColor rgb="FFFFF2CC"/>
      </x:patternFill>
    </x:fill>
    <x:fill>
      <x:patternFill patternType="solid">
        <x:fgColor rgb="FF1F4E79"/>
      </x:patternFill>
    </x:fill>
    <x:fill>
      <x:patternFill patternType="solid">
        <x:fgColor rgb="FFD9EAF7"/>
      </x:patternFill>
    </x:fill>
  </x:fills>
  <x:borders count="11">
    <x:border/>
    <x:border/>
    <x:border/>
    <x:border/>
    <x:border/>
    <x:border/>
    <x:border/>
    <x:border/>
    <x:border/>
    <x:border/>
    <x:border/>
  </x:borders>
  <x:cellStyleXfs count="1">
    <x:xf numFmtId="0" fontId="0" fillId="0" borderId="0"/>
  </x:cellStyleXfs>
  <x:cellXfs count="2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0" fontId="3" fillId="2" borderId="0" xfId="0" applyNumberFormat="1" applyFont="1" applyFill="1" applyBorder="1" applyAlignment="1">
      <x:alignment horizontal="center"/>
    </x:xf>
    <x:xf numFmtId="0" fontId="4" fillId="0" borderId="0" xfId="0" applyNumberFormat="1" applyFont="1" applyFill="1" applyBorder="1"/>
    <x:xf numFmtId="0" fontId="3" fillId="2" borderId="1" xfId="0" applyNumberFormat="1" applyFont="1" applyFill="1" applyBorder="1" applyAlignment="1">
      <x:alignment horizontal="center"/>
    </x:xf>
    <x:xf numFmtId="0" fontId="4" fillId="0" borderId="1" xfId="0" applyNumberFormat="1" applyFont="1" applyFill="1" applyBorder="1"/>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4" fillId="2" borderId="0" xfId="0" applyNumberFormat="1" applyFont="1" applyFill="1" applyBorder="1"/>
    <x:xf numFmtId="0" fontId="0" fillId="0" borderId="0" xfId="0" applyNumberFormat="1" applyFont="1" applyFill="1" applyBorder="1"/>
    <x:xf numFmtId="0" fontId="3" fillId="4" borderId="0" xfId="0" applyNumberFormat="1" applyFont="1" applyFill="1" applyBorder="1" applyAlignment="1">
      <x:alignment horizontal="center" vertical="center" wrapText="1"/>
    </x:xf>
    <x:xf numFmtId="0" fontId="4"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horizontal="center" wrapText="1"/>
    </x:xf>
    <x:xf numFmtId="0" fontId="2" fillId="4"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center"/>
    </x:xf>
    <x:xf numFmtId="0" fontId="5" fillId="5" borderId="0" xfId="0" applyNumberFormat="1" applyFont="1" applyFill="1" applyBorder="1" applyAlignment="1">
      <x:alignment horizontal="center" vertical="center"/>
    </x:xf>
    <x:xf numFmtId="0" fontId="0" fillId="6" borderId="0" xfId="0" applyNumberFormat="1" applyFont="1" applyFill="1" applyBorder="1" applyAlignment="1">
      <x:alignment wrapText="1"/>
    </x:xf>
    <x:xf numFmtId="0" fontId="6" fillId="6" borderId="0" xfId="0" applyNumberFormat="1" applyFont="1" applyFill="1" applyBorder="1" applyAlignment="1">
      <x:alignment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left"/>
    </x:xf>
    <x:xf numFmtId="0" fontId="5" fillId="7" borderId="0" xfId="0" applyNumberFormat="1" applyFont="1" applyFill="1" applyBorder="1" applyAlignment="1">
      <x:alignment horizontal="left" vertic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7" fillId="8" borderId="0" xfId="0" applyNumberFormat="1" applyFont="1" applyFill="1" applyBorder="1" applyAlignment="1">
      <x:alignment vertical="top"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horizontal="center"/>
    </x:xf>
    <x:xf numFmtId="0" fontId="2" fillId="9" borderId="0" xfId="0" applyNumberFormat="1" applyFont="1" applyFill="1" applyBorder="1" applyAlignment="1">
      <x:alignment horizontal="center" vertical="center"/>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horizontal="center"/>
    </x:xf>
    <x:xf numFmtId="0" fontId="8" fillId="10" borderId="0" xfId="0" applyNumberFormat="1" applyFont="1" applyFill="1" applyBorder="1" applyAlignment="1">
      <x:alignment horizontal="center" vertical="center"/>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horizontal="left"/>
    </x:xf>
    <x:xf numFmtId="201" fontId="9" fillId="11" borderId="0" xfId="0" applyNumberFormat="1" applyFont="1" applyFill="1" applyBorder="1" applyAlignment="1">
      <x:alignment horizontal="left"/>
    </x:xf>
    <x:xf numFmtId="202" fontId="9" fillId="11" borderId="0" xfId="0" applyNumberFormat="1" applyFont="1" applyFill="1" applyBorder="1" applyAlignment="1">
      <x:alignment horizontal="left"/>
    </x:xf>
    <x:xf numFmtId="203" fontId="9" fillId="11" borderId="0" xfId="0" applyNumberFormat="1" applyFont="1" applyFill="1" applyBorder="1" applyAlignment="1">
      <x:alignment horizontal="left"/>
    </x:xf>
    <x:xf numFmtId="203" fontId="9" fillId="11" borderId="0" xfId="0" applyNumberFormat="1" applyFont="1" applyFill="1" applyBorder="1" applyAlignment="1">
      <x:alignment horizontal="left" wrapText="1"/>
    </x:xf>
    <x:xf numFmtId="204" fontId="0" fillId="0" borderId="0" xfId="0" applyNumberFormat="1" applyFont="1" applyFill="1" applyBorder="1"/>
    <x:xf numFmtId="203" fontId="0" fillId="0" borderId="0" xfId="0" applyNumberFormat="1" applyFont="1" applyFill="1" applyBorder="1"/>
    <x:xf numFmtId="0" fontId="8" fillId="10" borderId="0" xfId="0" applyNumberFormat="1" applyFont="1" applyFill="1" applyBorder="1" applyAlignment="1">
      <x:alignment horizontal="center" vertical="center" wrapText="1"/>
    </x:xf>
    <x:xf numFmtId="204"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0" fontId="5" fillId="7" borderId="0" xfId="0" applyNumberFormat="1" applyFont="1" applyFill="1" applyBorder="1" applyAlignment="1">
      <x:alignment horizontal="left" vertical="center" wrapText="1"/>
    </x:xf>
    <x:xf numFmtId="0" fontId="0" fillId="12" borderId="0" xfId="0" applyNumberFormat="1" applyFont="1" applyFill="1" applyBorder="1"/>
    <x:xf numFmtId="0" fontId="5" fillId="12" borderId="0" xfId="0" applyNumberFormat="1" applyFont="1" applyFill="1" applyBorder="1"/>
    <x:xf numFmtId="0" fontId="5" fillId="12" borderId="0" xfId="0" applyNumberFormat="1" applyFont="1" applyFill="1" applyBorder="1" applyAlignment="1">
      <x:alignment wrapText="1"/>
    </x:xf>
    <x:xf numFmtId="0" fontId="5" fillId="12" borderId="0" xfId="0" applyNumberFormat="1" applyFont="1" applyFill="1" applyBorder="1" applyAlignment="1">
      <x:alignment horizontal="left" wrapText="1"/>
    </x:xf>
    <x:xf numFmtId="0" fontId="5" fillId="12" borderId="0" xfId="0" applyNumberFormat="1" applyFont="1" applyFill="1" applyBorder="1" applyAlignment="1">
      <x:alignment horizontal="left" vertical="center" wrapText="1"/>
    </x:xf>
    <x:xf numFmtId="0" fontId="0" fillId="0" borderId="0" xfId="0" applyNumberFormat="1" applyFont="1" applyFill="1" applyBorder="1" applyAlignment="1">
      <x:alignment vertical="top" wrapText="1"/>
    </x:xf>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2" fillId="13" borderId="0" xfId="0" applyNumberFormat="1" applyFont="1" applyFill="1" applyBorder="1" applyAlignment="1">
      <x:alignment horizontal="center" wrapText="1"/>
    </x:xf>
    <x:xf numFmtId="0" fontId="2" fillId="13" borderId="0" xfId="0" applyNumberFormat="1" applyFont="1" applyFill="1" applyBorder="1" applyAlignment="1">
      <x:alignment horizontal="center" vertical="center" wrapText="1"/>
    </x:xf>
    <x:xf numFmtId="205" fontId="0" fillId="0" borderId="0" xfId="0" applyNumberFormat="1" applyFont="1" applyFill="1" applyBorder="1"/>
    <x:xf numFmtId="0" fontId="3" fillId="13" borderId="0" xfId="0" applyNumberFormat="1" applyFont="1" applyFill="1" applyBorder="1" applyAlignment="1">
      <x:alignment horizontal="center" vertical="center" wrapText="1"/>
    </x:xf>
    <x:xf numFmtId="0" fontId="0" fillId="14" borderId="0" xfId="0" applyNumberFormat="1" applyFont="1" applyFill="1" applyBorder="1"/>
    <x:xf numFmtId="0" fontId="5" fillId="14" borderId="0" xfId="0" applyNumberFormat="1" applyFont="1" applyFill="1" applyBorder="1"/>
    <x:xf numFmtId="0" fontId="5" fillId="14" borderId="0" xfId="0" applyNumberFormat="1" applyFont="1" applyFill="1" applyBorder="1" applyAlignment="1">
      <x:alignment wrapText="1"/>
    </x:xf>
    <x:xf numFmtId="0" fontId="5" fillId="14" borderId="0" xfId="0" applyNumberFormat="1" applyFont="1" applyFill="1" applyBorder="1" applyAlignment="1">
      <x:alignment horizontal="left" wrapText="1"/>
    </x:xf>
    <x:xf numFmtId="0" fontId="5" fillId="14" borderId="0" xfId="0" applyNumberFormat="1" applyFont="1" applyFill="1" applyBorder="1" applyAlignment="1">
      <x:alignment horizontal="left" vertical="center" wrapText="1"/>
    </x:xf>
    <x:xf numFmtId="0" fontId="0" fillId="15" borderId="0" xfId="0" applyNumberFormat="1" applyFont="1" applyFill="1" applyBorder="1"/>
    <x:xf numFmtId="0" fontId="10" fillId="15" borderId="0" xfId="0" applyNumberFormat="1" applyFont="1" applyFill="1" applyBorder="1"/>
    <x:xf numFmtId="0" fontId="10" fillId="15" borderId="0" xfId="0" applyNumberFormat="1" applyFont="1" applyFill="1" applyBorder="1" applyAlignment="1">
      <x:alignment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11" fillId="17" borderId="0" xfId="0" applyNumberFormat="1" applyFont="1" applyFill="1" applyBorder="1"/>
    <x:xf numFmtId="0" fontId="11" fillId="17" borderId="0" xfId="0" applyNumberFormat="1" applyFont="1" applyFill="1" applyBorder="1" applyAlignment="1">
      <x:alignment wrapText="1"/>
    </x:xf>
    <x:xf numFmtId="0" fontId="0" fillId="18" borderId="0" xfId="0" applyNumberFormat="1" applyFont="1" applyFill="1" applyBorder="1"/>
    <x:xf numFmtId="0" fontId="12" fillId="18" borderId="0" xfId="0" applyNumberFormat="1" applyFont="1" applyFill="1" applyBorder="1"/>
    <x:xf numFmtId="0" fontId="12" fillId="18" borderId="0" xfId="0" applyNumberFormat="1" applyFont="1" applyFill="1" applyBorder="1" applyAlignment="1">
      <x:alignment wrapText="1"/>
    </x:xf>
    <x:xf numFmtId="0" fontId="0" fillId="19" borderId="0" xfId="0" applyNumberFormat="1" applyFont="1" applyFill="1" applyBorder="1"/>
    <x:xf numFmtId="0" fontId="13" fillId="19" borderId="0" xfId="0" applyNumberFormat="1" applyFont="1" applyFill="1" applyBorder="1"/>
    <x:xf numFmtId="0" fontId="13" fillId="19" borderId="0" xfId="0" applyNumberFormat="1" applyFont="1" applyFill="1" applyBorder="1" applyAlignment="1">
      <x:alignment wrapText="1"/>
    </x:xf>
    <x:xf numFmtId="201" fontId="12" fillId="18" borderId="0" xfId="0" applyNumberFormat="1" applyFont="1" applyFill="1" applyBorder="1" applyAlignment="1">
      <x:alignment wrapText="1"/>
    </x:xf>
    <x:xf numFmtId="202" fontId="12" fillId="18" borderId="0" xfId="0" applyNumberFormat="1" applyFont="1" applyFill="1" applyBorder="1" applyAlignment="1">
      <x:alignment wrapText="1"/>
    </x:xf>
    <x:xf numFmtId="205" fontId="13" fillId="19" borderId="0" xfId="0" applyNumberFormat="1" applyFont="1" applyFill="1" applyBorder="1" applyAlignment="1">
      <x:alignment wrapText="1"/>
    </x:xf>
    <x:xf numFmtId="201" fontId="13" fillId="19" borderId="0" xfId="0" applyNumberFormat="1" applyFont="1" applyFill="1" applyBorder="1" applyAlignment="1">
      <x:alignment wrapText="1"/>
    </x:xf>
    <x:xf numFmtId="202" fontId="13" fillId="19" borderId="0" xfId="0" applyNumberFormat="1" applyFont="1" applyFill="1" applyBorder="1" applyAlignment="1">
      <x:alignment wrapText="1"/>
    </x:xf>
    <x:xf numFmtId="0" fontId="14" fillId="18" borderId="0" xfId="0" applyNumberFormat="1" applyFont="1" applyFill="1" applyBorder="1"/>
    <x:xf numFmtId="0" fontId="14" fillId="18" borderId="0" xfId="0" applyNumberFormat="1" applyFont="1" applyFill="1" applyBorder="1" applyAlignment="1">
      <x:alignment wrapText="1"/>
    </x:xf>
    <x:xf numFmtId="206" fontId="0" fillId="0" borderId="0" xfId="0" applyNumberFormat="1" applyFont="1" applyFill="1" applyBorder="1"/>
    <x:xf numFmtId="207" fontId="0" fillId="0" borderId="0" xfId="0" applyNumberFormat="1" applyFont="1" applyFill="1" applyBorder="1"/>
    <x:xf numFmtId="201" fontId="14" fillId="18" borderId="0" xfId="0" applyNumberFormat="1" applyFont="1" applyFill="1" applyBorder="1" applyAlignment="1">
      <x:alignment wrapText="1"/>
    </x:xf>
    <x:xf numFmtId="208" fontId="14" fillId="18" borderId="0" xfId="0" applyNumberFormat="1" applyFont="1" applyFill="1" applyBorder="1" applyAlignment="1">
      <x:alignment wrapText="1"/>
    </x:xf>
    <x:xf numFmtId="208" fontId="0" fillId="0" borderId="0" xfId="0" applyNumberFormat="1" applyFont="1" applyFill="1" applyBorder="1"/>
    <x:xf numFmtId="0" fontId="12" fillId="19" borderId="0" xfId="0" applyNumberFormat="1" applyFont="1" applyFill="1" applyBorder="1"/>
    <x:xf numFmtId="0" fontId="12" fillId="19" borderId="0" xfId="0" applyNumberFormat="1" applyFont="1" applyFill="1" applyBorder="1" applyAlignment="1">
      <x:alignment wrapText="1"/>
    </x:xf>
    <x:xf numFmtId="205" fontId="12" fillId="19" borderId="0" xfId="0" applyNumberFormat="1" applyFont="1" applyFill="1" applyBorder="1" applyAlignment="1">
      <x:alignment wrapText="1"/>
    </x:xf>
    <x:xf numFmtId="201" fontId="12" fillId="19" borderId="0" xfId="0" applyNumberFormat="1" applyFont="1" applyFill="1" applyBorder="1" applyAlignment="1">
      <x:alignment wrapText="1"/>
    </x:xf>
    <x:xf numFmtId="202" fontId="12" fillId="19" borderId="0" xfId="0" applyNumberFormat="1" applyFont="1" applyFill="1" applyBorder="1" applyAlignment="1">
      <x:alignment wrapText="1"/>
    </x:xf>
    <x:xf numFmtId="0" fontId="0" fillId="20" borderId="0" xfId="0" applyNumberFormat="1" applyFont="1" applyFill="1" applyBorder="1"/>
    <x:xf numFmtId="0" fontId="5" fillId="20" borderId="0" xfId="0" applyNumberFormat="1" applyFont="1" applyFill="1" applyBorder="1"/>
    <x:xf numFmtId="0" fontId="5" fillId="20" borderId="0" xfId="0" applyNumberFormat="1" applyFont="1" applyFill="1" applyBorder="1" applyAlignment="1">
      <x:alignment horizontal="left"/>
    </x:xf>
    <x:xf numFmtId="0" fontId="5" fillId="20" borderId="0" xfId="0" applyNumberFormat="1" applyFont="1" applyFill="1" applyBorder="1" applyAlignment="1">
      <x:alignment horizontal="left" vertical="center"/>
    </x:xf>
    <x:xf numFmtId="0" fontId="0" fillId="21" borderId="0" xfId="0" applyNumberFormat="1" applyFont="1" applyFill="1" applyBorder="1"/>
    <x:xf numFmtId="0" fontId="15" fillId="21" borderId="0" xfId="0" applyNumberFormat="1" applyFont="1" applyFill="1" applyBorder="1"/>
    <x:xf numFmtId="0" fontId="15" fillId="21" borderId="0" xfId="0" applyNumberFormat="1" applyFont="1" applyFill="1" applyBorder="1" applyAlignment="1">
      <x:alignment wrapText="1"/>
    </x:xf>
    <x:xf numFmtId="0" fontId="15" fillId="21" borderId="0" xfId="0" applyNumberFormat="1" applyFont="1" applyFill="1" applyBorder="1" applyAlignment="1">
      <x:alignment vertical="top"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23" borderId="0" xfId="0" applyNumberFormat="1" applyFont="1" applyFill="1" applyBorder="1"/>
    <x:xf numFmtId="0" fontId="6" fillId="23" borderId="0" xfId="0" applyNumberFormat="1" applyFont="1" applyFill="1" applyBorder="1"/>
    <x:xf numFmtId="0" fontId="6" fillId="23" borderId="0" xfId="0" applyNumberFormat="1" applyFont="1" applyFill="1" applyBorder="1" applyAlignment="1">
      <x:alignment wrapText="1"/>
    </x:xf>
    <x:xf numFmtId="0" fontId="2" fillId="22" borderId="2" xfId="0" applyNumberFormat="1" applyFont="1" applyFill="1" applyBorder="1" applyAlignment="1">
      <x:alignment horizontal="center" vertical="center" wrapText="1"/>
    </x:xf>
    <x:xf numFmtId="0" fontId="2" fillId="22" borderId="3" xfId="0" applyNumberFormat="1" applyFont="1" applyFill="1" applyBorder="1" applyAlignment="1">
      <x:alignment horizontal="center" vertical="center" wrapText="1"/>
    </x:xf>
    <x:xf numFmtId="0" fontId="2" fillId="22"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24" borderId="0" xfId="0" applyNumberFormat="1" applyFont="1" applyFill="1" applyBorder="1"/>
    <x:xf numFmtId="0" fontId="16" fillId="24" borderId="0" xfId="0" applyNumberFormat="1" applyFont="1" applyFill="1" applyBorder="1"/>
    <x:xf numFmtId="0" fontId="16" fillId="24" borderId="0" xfId="0" applyNumberFormat="1" applyFont="1" applyFill="1" applyBorder="1" applyAlignment="1">
      <x:alignment horizontal="left"/>
    </x:xf>
    <x:xf numFmtId="0" fontId="16" fillId="24" borderId="0" xfId="0" applyNumberFormat="1" applyFont="1" applyFill="1" applyBorder="1" applyAlignment="1">
      <x:alignment horizontal="left" vertical="center"/>
    </x:xf>
    <x:xf numFmtId="0" fontId="5" fillId="20" borderId="0" xfId="0" applyNumberFormat="1" applyFont="1" applyFill="1" applyBorder="1" applyAlignment="1">
      <x:alignment horizontal="left" vertical="center" wrapText="1"/>
    </x:xf>
    <x:xf numFmtId="0" fontId="16" fillId="24" borderId="0" xfId="0" applyNumberFormat="1" applyFont="1" applyFill="1" applyBorder="1" applyAlignment="1">
      <x:alignment horizontal="left" vertical="center" wrapText="1"/>
    </x:xf>
    <x:xf numFmtId="0" fontId="0" fillId="25" borderId="0" xfId="0" applyNumberFormat="1" applyFont="1" applyFill="1" applyBorder="1"/>
    <x:xf numFmtId="0" fontId="17" fillId="25" borderId="0" xfId="0" applyNumberFormat="1" applyFont="1" applyFill="1" applyBorder="1"/>
    <x:xf numFmtId="0" fontId="17" fillId="25" borderId="0" xfId="0" applyNumberFormat="1" applyFont="1" applyFill="1" applyBorder="1" applyAlignment="1">
      <x:alignment wrapText="1"/>
    </x:xf>
    <x:xf numFmtId="0" fontId="17" fillId="25" borderId="0" xfId="0" applyNumberFormat="1" applyFont="1" applyFill="1" applyBorder="1" applyAlignment="1">
      <x:alignment vertical="top" wrapText="1"/>
    </x:xf>
    <x:xf numFmtId="0" fontId="5" fillId="14" borderId="0" xfId="0" applyNumberFormat="1" applyFont="1" applyFill="1" applyBorder="1" applyAlignment="1">
      <x:alignment horizontal="left"/>
    </x:xf>
    <x:xf numFmtId="0" fontId="5" fillId="14" borderId="0" xfId="0" applyNumberFormat="1" applyFont="1" applyFill="1" applyBorder="1" applyAlignment="1">
      <x:alignment horizontal="left" vertical="center"/>
    </x:xf>
    <x:xf numFmtId="0" fontId="15" fillId="18" borderId="0" xfId="0" applyNumberFormat="1" applyFont="1" applyFill="1" applyBorder="1"/>
    <x:xf numFmtId="0" fontId="15" fillId="18" borderId="0" xfId="0" applyNumberFormat="1" applyFont="1" applyFill="1" applyBorder="1" applyAlignment="1">
      <x:alignment wrapText="1"/>
    </x:xf>
    <x:xf numFmtId="0" fontId="15" fillId="18" borderId="0" xfId="0" applyNumberFormat="1" applyFont="1" applyFill="1" applyBorder="1" applyAlignment="1">
      <x:alignment vertical="top"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6" fillId="19" borderId="0" xfId="0" applyNumberFormat="1" applyFont="1" applyFill="1" applyBorder="1"/>
    <x:xf numFmtId="0" fontId="6" fillId="19" borderId="0" xfId="0" applyNumberFormat="1" applyFont="1" applyFill="1" applyBorder="1" applyAlignment="1">
      <x:alignment wrapText="1"/>
    </x:xf>
    <x:xf numFmtId="0" fontId="16" fillId="15" borderId="0" xfId="0" applyNumberFormat="1" applyFont="1" applyFill="1" applyBorder="1"/>
    <x:xf numFmtId="0" fontId="16" fillId="15" borderId="0" xfId="0" applyNumberFormat="1" applyFont="1" applyFill="1" applyBorder="1" applyAlignment="1">
      <x:alignment horizontal="left"/>
    </x:xf>
    <x:xf numFmtId="0" fontId="16" fillId="15" borderId="0" xfId="0" applyNumberFormat="1" applyFont="1" applyFill="1" applyBorder="1" applyAlignment="1">
      <x:alignment horizontal="left" vertical="center"/>
    </x:xf>
    <x:xf numFmtId="0" fontId="16" fillId="15" borderId="0" xfId="0" applyNumberFormat="1" applyFont="1" applyFill="1" applyBorder="1" applyAlignment="1">
      <x:alignment horizontal="left" vertical="center" wrapText="1"/>
    </x:xf>
    <x:xf numFmtId="0" fontId="0" fillId="26" borderId="0" xfId="0" applyNumberFormat="1" applyFont="1" applyFill="1" applyBorder="1"/>
    <x:xf numFmtId="0" fontId="5" fillId="26" borderId="0" xfId="0" applyNumberFormat="1" applyFont="1" applyFill="1" applyBorder="1"/>
    <x:xf numFmtId="0" fontId="5" fillId="26" borderId="0" xfId="0" applyNumberFormat="1" applyFont="1" applyFill="1" applyBorder="1" applyAlignment="1">
      <x:alignment wrapText="1"/>
    </x:xf>
    <x:xf numFmtId="0" fontId="5" fillId="26" borderId="0" xfId="0" applyNumberFormat="1" applyFont="1" applyFill="1" applyBorder="1" applyAlignment="1">
      <x:alignment horizontal="left" wrapText="1"/>
    </x:xf>
    <x:xf numFmtId="0" fontId="5" fillId="26" borderId="0" xfId="0" applyNumberFormat="1" applyFont="1" applyFill="1" applyBorder="1" applyAlignment="1">
      <x:alignment horizontal="left" vertical="center" wrapText="1"/>
    </x:xf>
    <x:xf numFmtId="0" fontId="0" fillId="27" borderId="0" xfId="0" applyNumberFormat="1" applyFont="1" applyFill="1" applyBorder="1"/>
    <x:xf numFmtId="0" fontId="18" fillId="27" borderId="0" xfId="0" applyNumberFormat="1" applyFont="1" applyFill="1" applyBorder="1"/>
    <x:xf numFmtId="0" fontId="18" fillId="27" borderId="0" xfId="0" applyNumberFormat="1" applyFont="1" applyFill="1" applyBorder="1" applyAlignment="1">
      <x:alignment wrapText="1"/>
    </x:xf>
    <x:xf numFmtId="0" fontId="18" fillId="27" borderId="0" xfId="0" applyNumberFormat="1" applyFont="1" applyFill="1" applyBorder="1" applyAlignment="1">
      <x:alignment vertical="top" wrapText="1"/>
    </x:xf>
    <x:xf numFmtId="0" fontId="0" fillId="28" borderId="0" xfId="0" applyNumberFormat="1" applyFont="1" applyFill="1" applyBorder="1"/>
    <x:xf numFmtId="0" fontId="2" fillId="28" borderId="0" xfId="0" applyNumberFormat="1" applyFont="1" applyFill="1" applyBorder="1"/>
    <x:xf numFmtId="0" fontId="2" fillId="28" borderId="0" xfId="0" applyNumberFormat="1" applyFont="1" applyFill="1" applyBorder="1" applyAlignment="1">
      <x:alignment wrapText="1"/>
    </x:xf>
    <x:xf numFmtId="0" fontId="2" fillId="28" borderId="0" xfId="0" applyNumberFormat="1" applyFont="1" applyFill="1" applyBorder="1" applyAlignment="1">
      <x:alignment horizontal="center" wrapText="1"/>
    </x:xf>
    <x:xf numFmtId="0" fontId="2" fillId="28" borderId="0" xfId="0" applyNumberFormat="1" applyFont="1" applyFill="1" applyBorder="1" applyAlignment="1">
      <x:alignment horizontal="center" vertical="center" wrapText="1"/>
    </x:xf>
    <x:xf numFmtId="0" fontId="0" fillId="29" borderId="0" xfId="0" applyNumberFormat="1" applyFont="1" applyFill="1" applyBorder="1"/>
    <x:xf numFmtId="0" fontId="19" fillId="29" borderId="0" xfId="0" applyNumberFormat="1" applyFont="1" applyFill="1" applyBorder="1"/>
    <x:xf numFmtId="0" fontId="19" fillId="29" borderId="0" xfId="0" applyNumberFormat="1" applyFont="1" applyFill="1" applyBorder="1" applyAlignment="1">
      <x:alignment wrapText="1"/>
    </x:xf>
    <x:xf numFmtId="0" fontId="19" fillId="29" borderId="0" xfId="0" applyNumberFormat="1" applyFont="1" applyFill="1" applyBorder="1" applyAlignment="1">
      <x:alignment horizontal="left" wrapText="1"/>
    </x:xf>
    <x:xf numFmtId="0" fontId="19" fillId="29" borderId="0" xfId="0" applyNumberFormat="1" applyFont="1" applyFill="1" applyBorder="1" applyAlignment="1">
      <x:alignment horizontal="left" vertical="center" wrapText="1"/>
    </x:xf>
    <x:xf numFmtId="0" fontId="20" fillId="0" borderId="0" xfId="0" applyNumberFormat="1" applyFont="1" applyFill="1" applyBorder="1"/>
    <x:xf numFmtId="0" fontId="20" fillId="0" borderId="0" xfId="0" applyNumberFormat="1" applyFont="1" applyFill="1" applyBorder="1" applyAlignment="1">
      <x:alignment wrapText="1"/>
    </x:xf>
    <x:xf numFmtId="0" fontId="20" fillId="0" borderId="0" xfId="0" applyNumberFormat="1" applyFont="1" applyFill="1" applyBorder="1" applyAlignment="1">
      <x:alignment vertical="top" wrapText="1"/>
    </x:xf>
    <x:xf numFmtId="209" fontId="0" fillId="0" borderId="0" xfId="0" applyNumberFormat="1" applyFont="1" applyFill="1" applyBorder="1"/>
    <x:xf numFmtId="209" fontId="0" fillId="0" borderId="0" xfId="0" applyNumberFormat="1" applyFont="1" applyFill="1" applyBorder="1" applyAlignment="1">
      <x:alignment wrapText="1"/>
    </x:xf>
    <x:xf numFmtId="0" fontId="5" fillId="26" borderId="0" xfId="0" applyNumberFormat="1" applyFont="1" applyFill="1" applyBorder="1" applyAlignment="1">
      <x:alignment horizontal="left" vertical="top" wrapText="1"/>
    </x:xf>
    <x:xf numFmtId="0" fontId="2" fillId="28" borderId="0" xfId="0" applyNumberFormat="1" applyFont="1" applyFill="1" applyBorder="1" applyAlignment="1">
      <x:alignment horizontal="center" vertical="top" wrapText="1"/>
    </x:xf>
    <x:xf numFmtId="0" fontId="19" fillId="29" borderId="0" xfId="0" applyNumberFormat="1" applyFont="1" applyFill="1" applyBorder="1" applyAlignment="1">
      <x:alignment horizontal="left" vertical="top" wrapText="1"/>
    </x:xf>
    <x:xf numFmtId="209" fontId="0" fillId="0" borderId="0" xfId="0" applyNumberFormat="1" applyFont="1" applyFill="1" applyBorder="1" applyAlignment="1">
      <x:alignment vertical="top" wrapText="1"/>
    </x:xf>
    <x:xf numFmtId="204"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cellXfs>
  <x:cellStyles count="1">
    <x:cellStyle name="Normal" xfId="0"/>
  </x:cellStyles>
  <x:dxfs count="3">
    <x:dxf>
      <x:fill>
        <x:patternFill>
          <x:bgColor rgb="FFD9EAD3"/>
        </x:patternFill>
      </x:fill>
    </x:dxf>
    <x:dxf>
      <x:fill>
        <x:patternFill>
          <x:bgColor rgb="FFFFF2CC"/>
        </x:patternFill>
      </x:fill>
    </x:dxf>
    <x:dxf>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69fb22eb56a47e1" /><Relationship Type="http://schemas.openxmlformats.org/officeDocument/2006/relationships/theme" Target="/xl/theme/theme1.xml" Id="R2861943422104388" /><Relationship Type="http://schemas.openxmlformats.org/officeDocument/2006/relationships/sharedStrings" Target="/xl/sharedStrings.xml" Id="Rbc57ee80f1134ce7" /><Relationship Type="http://schemas.openxmlformats.org/officeDocument/2006/relationships/worksheet" Target="/xl/worksheets/sheet1.xml" Id="R1da6b9c623d04876" /><Relationship Type="http://schemas.openxmlformats.org/officeDocument/2006/relationships/worksheet" Target="/xl/worksheets/sheet2.xml" Id="Rbb8772507b2548c3" /><Relationship Type="http://schemas.openxmlformats.org/officeDocument/2006/relationships/worksheet" Target="/xl/worksheets/sheet3.xml" Id="R6ec8a4534b984a23" /><Relationship Type="http://schemas.openxmlformats.org/officeDocument/2006/relationships/worksheet" Target="/xl/worksheets/sheet4.xml" Id="R9ca74c8642394728" /><Relationship Type="http://schemas.openxmlformats.org/officeDocument/2006/relationships/worksheet" Target="/xl/worksheets/sheet5.xml" Id="Ra75d8680d7b44216" /><Relationship Type="http://schemas.openxmlformats.org/officeDocument/2006/relationships/worksheet" Target="/xl/worksheets/sheet6.xml" Id="Rc3664e2ae1b24384" /><Relationship Type="http://schemas.openxmlformats.org/officeDocument/2006/relationships/worksheet" Target="/xl/worksheets/sheet7.xml" Id="R3a30a7a7605c4923" /><Relationship Type="http://schemas.openxmlformats.org/officeDocument/2006/relationships/worksheet" Target="/xl/worksheets/sheet8.xml" Id="R81d98f008b084139" /><Relationship Type="http://schemas.openxmlformats.org/officeDocument/2006/relationships/worksheet" Target="/xl/worksheets/sheet9.xml" Id="R9e04876f2b52422d" /><Relationship Type="http://schemas.openxmlformats.org/officeDocument/2006/relationships/worksheet" Target="/xl/worksheets/sheet10.xml" Id="R70fdc7df666e418d" /><Relationship Type="http://schemas.openxmlformats.org/officeDocument/2006/relationships/worksheet" Target="/xl/worksheets/sheet11.xml" Id="R98a115fbdd6741ef" /><Relationship Type="http://schemas.openxmlformats.org/officeDocument/2006/relationships/worksheet" Target="/xl/worksheets/sheet12.xml" Id="R7bcb2a11f0a54925" /><Relationship Type="http://schemas.openxmlformats.org/officeDocument/2006/relationships/worksheet" Target="/xl/worksheets/sheet13.xml" Id="Rb39fe27f5d0f4d91" /><Relationship Type="http://schemas.openxmlformats.org/officeDocument/2006/relationships/worksheet" Target="/xl/worksheets/sheet14.xml" Id="R247fec753a164a4d" /><Relationship Type="http://schemas.openxmlformats.org/officeDocument/2006/relationships/worksheet" Target="/xl/worksheets/sheet15.xml" Id="R8516e9c180e647c1" /><Relationship Type="http://schemas.openxmlformats.org/officeDocument/2006/relationships/worksheet" Target="/xl/worksheets/sheet16.xml" Id="R05e887f96edb48a4" /><Relationship Type="http://schemas.openxmlformats.org/officeDocument/2006/relationships/worksheet" Target="/xl/worksheets/sheet17.xml" Id="R2668c23d5b534bba" /><Relationship Type="http://schemas.openxmlformats.org/officeDocument/2006/relationships/worksheet" Target="/xl/worksheets/sheet18.xml" Id="R0c1611d628dd4bf7" /><Relationship Type="http://schemas.openxmlformats.org/officeDocument/2006/relationships/worksheet" Target="/xl/worksheets/sheet19.xml" Id="Rb6b4edf3e1104b39" /><Relationship Type="http://schemas.openxmlformats.org/officeDocument/2006/relationships/worksheet" Target="/xl/worksheets/sheet20.xml" Id="R62278be8bb8c4600" /><Relationship Type="http://schemas.openxmlformats.org/officeDocument/2006/relationships/worksheet" Target="/xl/worksheets/sheet21.xml" Id="Reb802c5942824327" /><Relationship Type="http://schemas.openxmlformats.org/officeDocument/2006/relationships/worksheet" Target="/xl/worksheets/sheet22.xml" Id="Rbee88dc7405e4ff8" /><Relationship Type="http://schemas.openxmlformats.org/officeDocument/2006/relationships/worksheet" Target="/xl/worksheets/sheet23.xml" Id="R699ecaf95b674804" /><Relationship Type="http://schemas.openxmlformats.org/officeDocument/2006/relationships/worksheet" Target="/xl/worksheets/sheet24.xml" Id="R788e1852ab144efa" /><Relationship Type="http://schemas.openxmlformats.org/officeDocument/2006/relationships/worksheet" Target="/xl/worksheets/sheet25.xml" Id="R9d5d09d7feed4f83" /><Relationship Type="http://schemas.openxmlformats.org/officeDocument/2006/relationships/worksheet" Target="/xl/worksheets/sheet26.xml" Id="R27cc93f34fa44a8e" /><Relationship Type="http://schemas.openxmlformats.org/officeDocument/2006/relationships/worksheet" Target="/xl/worksheets/sheet27.xml" Id="Ra17ad2a8e92c48eb" /><Relationship Type="http://schemas.openxmlformats.org/officeDocument/2006/relationships/worksheet" Target="/xl/worksheets/sheet28.xml" Id="R4a99e18534864e98" /><Relationship Type="http://schemas.openxmlformats.org/officeDocument/2006/relationships/worksheet" Target="/xl/worksheets/sheet29.xml" Id="R57073c7a2c894b70" /><Relationship Type="http://schemas.openxmlformats.org/officeDocument/2006/relationships/worksheet" Target="/xl/worksheets/sheet30.xml" Id="Re8f2a89c7ab24377" /><Relationship Type="http://schemas.openxmlformats.org/officeDocument/2006/relationships/worksheet" Target="/xl/worksheets/sheet31.xml" Id="R7d56c0c3eba04d59" /><Relationship Type="http://schemas.openxmlformats.org/officeDocument/2006/relationships/worksheet" Target="/xl/worksheets/sheet32.xml" Id="R8a1a5e071b8c4372" /><Relationship Type="http://schemas.openxmlformats.org/officeDocument/2006/relationships/worksheet" Target="/xl/worksheets/sheet33.xml" Id="Rfb52cbb960b645e0" /><Relationship Type="http://schemas.openxmlformats.org/officeDocument/2006/relationships/worksheet" Target="/xl/worksheets/sheet34.xml" Id="Rf4ad44afaa234d1a" /><Relationship Type="http://schemas.openxmlformats.org/officeDocument/2006/relationships/worksheet" Target="/xl/worksheets/sheet35.xml" Id="Rd383d79d15e44235" /><Relationship Type="http://schemas.openxmlformats.org/officeDocument/2006/relationships/worksheet" Target="/xl/worksheets/sheet36.xml" Id="R78948302485e4a72" /><Relationship Type="http://schemas.openxmlformats.org/officeDocument/2006/relationships/worksheet" Target="/xl/worksheets/sheet37.xml" Id="R932b58798b3a4994" /><Relationship Type="http://schemas.openxmlformats.org/officeDocument/2006/relationships/worksheet" Target="/xl/worksheets/sheet38.xml" Id="Rb2bf84632bf640d0" /><Relationship Type="http://schemas.openxmlformats.org/officeDocument/2006/relationships/worksheet" Target="/xl/worksheets/sheet39.xml" Id="R837a91fb722d4ef4" /><Relationship Type="http://schemas.openxmlformats.org/officeDocument/2006/relationships/worksheet" Target="/xl/worksheets/sheet40.xml" Id="R36208483b116401d" /><Relationship Type="http://schemas.openxmlformats.org/officeDocument/2006/relationships/worksheet" Target="/xl/worksheets/sheet41.xml" Id="R849a5b812d034446" /><Relationship Type="http://schemas.openxmlformats.org/officeDocument/2006/relationships/worksheet" Target="/xl/worksheets/sheet42.xml" Id="R3813b929b9f248c9" /><Relationship Type="http://schemas.openxmlformats.org/officeDocument/2006/relationships/worksheet" Target="/xl/worksheets/sheet43.xml" Id="R26589d85666b473f" /></Relationships>
</file>

<file path=xl/drawings/_rels/drawing1.xml.rels>&#65279;<?xml version="1.0" encoding="utf-8"?><Relationships xmlns="http://schemas.openxmlformats.org/package/2006/relationships"><Relationship Type="http://schemas.openxmlformats.org/officeDocument/2006/relationships/chart" Target="/xl/drawings/charts/chart1.xml" Id="Re244e832b4e94102" /></Relationships>
</file>

<file path=xl/drawings/_rels/drawing2.xml.rels>&#65279;<?xml version="1.0" encoding="utf-8"?><Relationships xmlns="http://schemas.openxmlformats.org/package/2006/relationships"><Relationship Type="http://schemas.openxmlformats.org/officeDocument/2006/relationships/chart" Target="/xl/drawings/charts/chart2.xml" Id="R511aace6fa974672" /><Relationship Type="http://schemas.openxmlformats.org/officeDocument/2006/relationships/chart" Target="/xl/drawings/charts/chart3.xml" Id="R0686d58033514bc6" /></Relationships>
</file>

<file path=xl/drawings/_rels/drawing3.xml.rels>&#65279;<?xml version="1.0" encoding="utf-8"?><Relationships xmlns="http://schemas.openxmlformats.org/package/2006/relationships"><Relationship Type="http://schemas.openxmlformats.org/officeDocument/2006/relationships/chart" Target="/xl/drawings/charts/chart4.xml" Id="Rbc4e536a563c4bed" /><Relationship Type="http://schemas.openxmlformats.org/officeDocument/2006/relationships/chart" Target="/xl/drawings/charts/chart5.xml" Id="Ra1e1774c3d194db8" /><Relationship Type="http://schemas.openxmlformats.org/officeDocument/2006/relationships/chart" Target="/xl/drawings/charts/chart6.xml" Id="Rce95ecce9ebf4b4d" /><Relationship Type="http://schemas.openxmlformats.org/officeDocument/2006/relationships/chart" Target="/xl/drawings/charts/chart7.xml" Id="R1f23d007162d42cd" /></Relationships>
</file>

<file path=xl/drawings/_rels/drawing4.xml.rels>&#65279;<?xml version="1.0" encoding="utf-8"?><Relationships xmlns="http://schemas.openxmlformats.org/package/2006/relationships"><Relationship Type="http://schemas.openxmlformats.org/officeDocument/2006/relationships/chart" Target="/xl/drawings/charts/chart8.xml" Id="R37c3d60f33654f67" /><Relationship Type="http://schemas.openxmlformats.org/officeDocument/2006/relationships/chart" Target="/xl/drawings/charts/chart9.xml" Id="R04a0692b60094753" /><Relationship Type="http://schemas.openxmlformats.org/officeDocument/2006/relationships/chart" Target="/xl/drawings/charts/chart10.xml" Id="Rb1987532bc8746f3" /><Relationship Type="http://schemas.openxmlformats.org/officeDocument/2006/relationships/chart" Target="/xl/drawings/charts/chart11.xml" Id="R68cf6979088b4e95" /><Relationship Type="http://schemas.openxmlformats.org/officeDocument/2006/relationships/chart" Target="/xl/drawings/charts/chart12.xml" Id="R89e94564a1d845a4" /><Relationship Type="http://schemas.openxmlformats.org/officeDocument/2006/relationships/chart" Target="/xl/drawings/charts/chart13.xml" Id="R7882f91cf7d4494e" /></Relationships>
</file>

<file path=xl/drawings/charts/chart1.xml><?xml version="1.0" encoding="utf-8"?>
<c:chartSpace xmlns:c="http://schemas.openxmlformats.org/drawingml/2006/chart">
  <c:lang val="en-US"/>
  <c:roundedCorners val="0"/>
  <c:chart>
    <c:plotArea>
      <c:layout/>
      <c:barChart>
        <c:barDir val="col"/>
        <c:varyColors val="0"/>
        <c:ser>
          <c:idx val="0"/>
          <c:order val="0"/>
          <c:tx>
            <c:v>Priority score</c:v>
          </c:tx>
          <c:cat>
            <c:strRef>
              <c:f>'Cell_Index'!$A$2:$A$15</c:f>
              <c:strCache>
                <c:ptCount val="0"/>
              </c:strCache>
            </c:strRef>
          </c:cat>
          <c:val>
            <c:numRef>
              <c:f>'Cell_Index'!$N$2:$N$15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ayout/>
      <c:lineChart>
        <c:grouping val="standard"/>
        <c:varyColors val="0"/>
        <c:ser>
          <c:idx val="0"/>
          <c:order val="0"/>
          <c:tx>
            <c:v>Exposed module DR</c:v>
          </c:tx>
          <c:cat>
            <c:strRef>
              <c:f>'Hail_Solar_Curve_Data'!$A$6:$A$26</c:f>
              <c:strCache>
                <c:ptCount val="0"/>
              </c:strCache>
            </c:strRef>
          </c:cat>
          <c:val>
            <c:numRef>
              <c:f>'Hail_Solar_Curve_Data'!$C$6:$C$26</c:f>
              <c:numCache>
                <c:formatCode>0%</c:formatCode>
                <c:ptCount val="0"/>
              </c:numCache>
            </c:numRef>
          </c:val>
          <c:smooth val="0"/>
        </c:ser>
        <c:ser>
          <c:idx val="1"/>
          <c:order val="1"/>
          <c:tx>
            <c:v>PV_ARRAY loss %</c:v>
          </c:tx>
          <c:cat>
            <c:strRef>
              <c:f>'Hail_Solar_Curve_Data'!$A$6:$A$26</c:f>
              <c:strCache>
                <c:ptCount val="0"/>
              </c:strCache>
            </c:strRef>
          </c:cat>
          <c:val>
            <c:numRef>
              <c:f>'Hail_Solar_Curve_Data'!$D$6:$D$26</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MESH-equivalent maximum hail diameter (mm)</a:t>
                </a:r>
              </a:p>
            </c:rich>
          </c:tx>
          <c:overlay val="0"/>
        </c:title>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Damage / loss ratio</a:t>
                </a:r>
              </a:p>
            </c:rich>
          </c:tx>
          <c:overlay val="0"/>
        </c:title>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plotArea>
      <c:layout/>
      <c:lineChart>
        <c:grouping val="standard"/>
        <c:varyColors val="0"/>
        <c:ser>
          <c:idx val="0"/>
          <c:order val="0"/>
          <c:tx>
            <c:v>Loss % physical replaceable base</c:v>
          </c:tx>
          <c:cat>
            <c:strRef>
              <c:f>'Hail_Solar_Curve_Data'!$A$6:$A$26</c:f>
              <c:strCache>
                <c:ptCount val="0"/>
              </c:strCache>
            </c:strRef>
          </c:cat>
          <c:val>
            <c:numRef>
              <c:f>'Hail_Solar_Curve_Data'!$E$6:$E$26</c:f>
              <c:numCache>
                <c:formatCode>0%</c:formatCode>
                <c:ptCount val="0"/>
              </c:numCache>
            </c:numRef>
          </c:val>
          <c:smooth val="0"/>
        </c:ser>
        <c:ser>
          <c:idx val="1"/>
          <c:order val="1"/>
          <c:tx>
            <c:v>Loss % TIV / installed capex</c:v>
          </c:tx>
          <c:cat>
            <c:strRef>
              <c:f>'Hail_Solar_Curve_Data'!$A$6:$A$26</c:f>
              <c:strCache>
                <c:ptCount val="0"/>
              </c:strCache>
            </c:strRef>
          </c:cat>
          <c:val>
            <c:numRef>
              <c:f>'Hail_Solar_Curve_Data'!$F$6:$F$26</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MESH-equivalent maximum hail diameter (mm)</a:t>
                </a:r>
              </a:p>
            </c:rich>
          </c:tx>
          <c:overlay val="0"/>
        </c:title>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Loss ratio</a:t>
                </a:r>
              </a:p>
            </c:rich>
          </c:tx>
          <c:overlay val="0"/>
        </c:title>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plotArea>
      <c:layout/>
      <c:lineChart>
        <c:grouping val="standard"/>
        <c:varyColors val="0"/>
        <c:ser>
          <c:idx val="0"/>
          <c:order val="0"/>
          <c:tx>
            <c:v>Fragile thin glass//glass</c:v>
          </c:tx>
          <c:cat>
            <c:strRef>
              <c:f>'Hail_V1_Data'!$A$2:$A$23</c:f>
              <c:strCache>
                <c:ptCount val="0"/>
              </c:strCache>
            </c:strRef>
          </c:cat>
          <c:val>
            <c:numRef>
              <c:f>'Hail_V1_Data'!$F$2:$F$23</c:f>
              <c:numCache>
                <c:formatCode>0%</c:formatCode>
                <c:ptCount val="0"/>
              </c:numCache>
            </c:numRef>
          </c:val>
          <c:smooth val="0"/>
        </c:ser>
        <c:ser>
          <c:idx val="1"/>
          <c:order val="1"/>
          <c:tx>
            <c:v>Default 3.2mm glass//backsheet</c:v>
          </c:tx>
          <c:cat>
            <c:strRef>
              <c:f>'Hail_V1_Data'!$A$2:$A$23</c:f>
              <c:strCache>
                <c:ptCount val="0"/>
              </c:strCache>
            </c:strRef>
          </c:cat>
          <c:val>
            <c:numRef>
              <c:f>'Hail_V1_Data'!$G$2:$G$23</c:f>
              <c:numCache>
                <c:formatCode>0%</c:formatCode>
                <c:ptCount val="0"/>
              </c:numCache>
            </c:numRef>
          </c:val>
          <c:smooth val="0"/>
        </c:ser>
        <c:ser>
          <c:idx val="2"/>
          <c:order val="2"/>
          <c:tx>
            <c:v>Hail-hardened/thicker</c:v>
          </c:tx>
          <c:cat>
            <c:strRef>
              <c:f>'Hail_V1_Data'!$A$2:$A$23</c:f>
              <c:strCache>
                <c:ptCount val="0"/>
              </c:strCache>
            </c:strRef>
          </c:cat>
          <c:val>
            <c:numRef>
              <c:f>'Hail_V1_Data'!$H$2:$H$23</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MESH-equivalent hail diameter (mm)</a:t>
                </a:r>
              </a:p>
            </c:rich>
          </c:tx>
          <c:overlay val="0"/>
        </c:title>
        <c:numFmt formatCode="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Module replacement DR</a:t>
                </a:r>
              </a:p>
            </c:rich>
          </c:tx>
          <c:overlay val="0"/>
        </c:title>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plotArea>
      <c:layout/>
      <c:lineChart>
        <c:grouping val="standard"/>
        <c:varyColors val="0"/>
        <c:ser>
          <c:idx val="0"/>
          <c:order val="0"/>
          <c:tx>
            <c:v>Fragile thin glass//glass</c:v>
          </c:tx>
          <c:cat>
            <c:strRef>
              <c:f>'Hail_V1_Data'!$A$2:$A$23</c:f>
              <c:strCache>
                <c:ptCount val="0"/>
              </c:strCache>
            </c:strRef>
          </c:cat>
          <c:val>
            <c:numRef>
              <c:f>'Hail_V1_Data'!$M$2:$M$23</c:f>
              <c:numCache>
                <c:formatCode>0%</c:formatCode>
                <c:ptCount val="0"/>
              </c:numCache>
            </c:numRef>
          </c:val>
          <c:smooth val="0"/>
        </c:ser>
        <c:ser>
          <c:idx val="1"/>
          <c:order val="1"/>
          <c:tx>
            <c:v>Default 3.2mm glass//backsheet</c:v>
          </c:tx>
          <c:cat>
            <c:strRef>
              <c:f>'Hail_V1_Data'!$A$2:$A$23</c:f>
              <c:strCache>
                <c:ptCount val="0"/>
              </c:strCache>
            </c:strRef>
          </c:cat>
          <c:val>
            <c:numRef>
              <c:f>'Hail_V1_Data'!$K$2:$K$23</c:f>
              <c:numCache>
                <c:formatCode>0%</c:formatCode>
                <c:ptCount val="0"/>
              </c:numCache>
            </c:numRef>
          </c:val>
          <c:smooth val="0"/>
        </c:ser>
        <c:ser>
          <c:idx val="2"/>
          <c:order val="2"/>
          <c:tx>
            <c:v>Hail-hardened/thicker</c:v>
          </c:tx>
          <c:cat>
            <c:strRef>
              <c:f>'Hail_V1_Data'!$A$2:$A$23</c:f>
              <c:strCache>
                <c:ptCount val="0"/>
              </c:strCache>
            </c:strRef>
          </c:cat>
          <c:val>
            <c:numRef>
              <c:f>'Hail_V1_Data'!$N$2:$N$23</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MESH-equivalent hail diameter (mm)</a:t>
                </a:r>
              </a:p>
            </c:rich>
          </c:tx>
          <c:overlay val="0"/>
        </c:title>
        <c:numFmt formatCode="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 installed capex / TIV</a:t>
                </a:r>
              </a:p>
            </c:rich>
          </c:tx>
          <c:overlay val="0"/>
        </c:title>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plotArea>
      <c:layout/>
      <c:lineChart>
        <c:grouping val="standard"/>
        <c:varyColors val="0"/>
        <c:ser>
          <c:idx val="0"/>
          <c:order val="0"/>
          <c:tx>
            <c:v>% PV_ARRAY lost</c:v>
          </c:tx>
          <c:cat>
            <c:strRef>
              <c:f>'Hail_V1_Data'!$A$2:$A$23</c:f>
              <c:strCache>
                <c:ptCount val="0"/>
              </c:strCache>
            </c:strRef>
          </c:cat>
          <c:val>
            <c:numRef>
              <c:f>'Hail_V1_Data'!$I$2:$I$23</c:f>
              <c:numCache>
                <c:formatCode>0%</c:formatCode>
                <c:ptCount val="0"/>
              </c:numCache>
            </c:numRef>
          </c:val>
          <c:smooth val="0"/>
        </c:ser>
        <c:ser>
          <c:idx val="1"/>
          <c:order val="1"/>
          <c:tx>
            <c:v>% physical base lost</c:v>
          </c:tx>
          <c:cat>
            <c:strRef>
              <c:f>'Hail_V1_Data'!$A$2:$A$23</c:f>
              <c:strCache>
                <c:ptCount val="0"/>
              </c:strCache>
            </c:strRef>
          </c:cat>
          <c:val>
            <c:numRef>
              <c:f>'Hail_V1_Data'!$J$2:$J$23</c:f>
              <c:numCache>
                <c:formatCode>0%</c:formatCode>
                <c:ptCount val="0"/>
              </c:numCache>
            </c:numRef>
          </c:val>
          <c:smooth val="0"/>
        </c:ser>
        <c:ser>
          <c:idx val="2"/>
          <c:order val="2"/>
          <c:tx>
            <c:v>% TIV lost</c:v>
          </c:tx>
          <c:cat>
            <c:strRef>
              <c:f>'Hail_V1_Data'!$A$2:$A$23</c:f>
              <c:strCache>
                <c:ptCount val="0"/>
              </c:strCache>
            </c:strRef>
          </c:cat>
          <c:val>
            <c:numRef>
              <c:f>'Hail_V1_Data'!$K$2:$K$23</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MESH-equivalent hail diameter (mm)</a:t>
                </a:r>
              </a:p>
            </c:rich>
          </c:tx>
          <c:overlay val="0"/>
        </c:title>
        <c:numFmt formatCode="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Loss percentage</a:t>
                </a:r>
              </a:p>
            </c:rich>
          </c:tx>
          <c:overlay val="0"/>
        </c:title>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plotArea>
      <c:layout/>
      <c:lineChart>
        <c:grouping val="standard"/>
        <c:varyColors val="0"/>
        <c:ser>
          <c:idx val="0"/>
          <c:order val="0"/>
          <c:tx>
            <c:v>KE proxy J/impact</c:v>
          </c:tx>
          <c:cat>
            <c:strRef>
              <c:f>'Hail_V1_Data'!$A$2:$A$23</c:f>
              <c:strCache>
                <c:ptCount val="0"/>
              </c:strCache>
            </c:strRef>
          </c:cat>
          <c:val>
            <c:numRef>
              <c:f>'Hail_V1_Data'!$E$2:$E$23</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MESH-equivalent hail diameter (mm)</a:t>
                </a:r>
              </a:p>
            </c:rich>
          </c:tx>
          <c:overlay val="0"/>
        </c:title>
        <c:numFmt formatCode="0"/>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J / impact</a:t>
                </a:r>
              </a:p>
            </c:rich>
          </c:tx>
          <c:overlay val="0"/>
        </c:title>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plotArea>
      <c:layout/>
      <c:lineChart>
        <c:grouping val="standard"/>
        <c:varyColors val="0"/>
        <c:ser>
          <c:idx val="0"/>
          <c:order val="0"/>
          <c:tx>
            <c:v>Unstowed</c:v>
          </c:tx>
          <c:cat>
            <c:strRef>
              <c:f>'Hail_Site_Loss'!$A$5:$A$25</c:f>
              <c:strCache>
                <c:ptCount val="0"/>
              </c:strCache>
            </c:strRef>
          </c:cat>
          <c:val>
            <c:numRef>
              <c:f>'Hail_Site_Loss'!$C$5:$C$25</c:f>
              <c:numCache>
                <c:formatCode>0%</c:formatCode>
                <c:ptCount val="0"/>
              </c:numCache>
            </c:numRef>
          </c:val>
          <c:smooth val="0"/>
        </c:ser>
        <c:ser>
          <c:idx val="1"/>
          <c:order val="1"/>
          <c:tx>
            <c:v>Stowed</c:v>
          </c:tx>
          <c:cat>
            <c:strRef>
              <c:f>'Hail_Site_Loss'!$A$5:$A$25</c:f>
              <c:strCache>
                <c:ptCount val="0"/>
              </c:strCache>
            </c:strRef>
          </c:cat>
          <c:val>
            <c:numRef>
              <c:f>'Hail_Site_Loss'!$D$5:$D$25</c:f>
              <c:numCache>
                <c:formatCode>0%</c:formatCode>
                <c:ptCount val="0"/>
              </c:numCache>
            </c:numRef>
          </c:val>
          <c:smooth val="0"/>
        </c:ser>
        <c:ser>
          <c:idx val="2"/>
          <c:order val="2"/>
          <c:tx>
            <c:v>Conditioned</c:v>
          </c:tx>
          <c:cat>
            <c:strRef>
              <c:f>'Hail_Site_Loss'!$A$5:$A$25</c:f>
              <c:strCache>
                <c:ptCount val="0"/>
              </c:strCache>
            </c:strRef>
          </c:cat>
          <c:val>
            <c:numRef>
              <c:f>'Hail_Site_Loss'!$E$5:$E$25</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MESH-equivalent diameter (mm)</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Module DR</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plotArea>
      <c:layout/>
      <c:lineChart>
        <c:grouping val="standard"/>
        <c:varyColors val="0"/>
        <c:ser>
          <c:idx val="0"/>
          <c:order val="0"/>
          <c:tx>
            <c:v>PV_ARRAY loss %</c:v>
          </c:tx>
          <c:cat>
            <c:strRef>
              <c:f>'Hail_Site_Loss'!$A$5:$A$25</c:f>
              <c:strCache>
                <c:ptCount val="0"/>
              </c:strCache>
            </c:strRef>
          </c:cat>
          <c:val>
            <c:numRef>
              <c:f>'Hail_Site_Loss'!$F$5:$F$25</c:f>
              <c:numCache>
                <c:formatCode>0%</c:formatCode>
                <c:ptCount val="0"/>
              </c:numCache>
            </c:numRef>
          </c:val>
          <c:smooth val="0"/>
        </c:ser>
        <c:ser>
          <c:idx val="1"/>
          <c:order val="1"/>
          <c:tx>
            <c:v>Physical-base loss %</c:v>
          </c:tx>
          <c:cat>
            <c:strRef>
              <c:f>'Hail_Site_Loss'!$A$5:$A$25</c:f>
              <c:strCache>
                <c:ptCount val="0"/>
              </c:strCache>
            </c:strRef>
          </c:cat>
          <c:val>
            <c:numRef>
              <c:f>'Hail_Site_Loss'!$G$5:$G$25</c:f>
              <c:numCache>
                <c:formatCode>0%</c:formatCode>
                <c:ptCount val="0"/>
              </c:numCache>
            </c:numRef>
          </c:val>
          <c:smooth val="0"/>
        </c:ser>
        <c:ser>
          <c:idx val="2"/>
          <c:order val="2"/>
          <c:tx>
            <c:v>%TIV</c:v>
          </c:tx>
          <c:cat>
            <c:strRef>
              <c:f>'Hail_Site_Loss'!$A$5:$A$25</c:f>
              <c:strCache>
                <c:ptCount val="0"/>
              </c:strCache>
            </c:strRef>
          </c:cat>
          <c:val>
            <c:numRef>
              <c:f>'Hail_Site_Loss'!$H$5:$H$25</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MESH-equivalent diameter (mm)</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Loss share</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plotArea>
      <c:layout/>
      <c:lineChart>
        <c:grouping val="standard"/>
        <c:varyColors val="0"/>
        <c:ser>
          <c:idx val="0"/>
          <c:order val="0"/>
          <c:tx>
            <c:v>%TIV loss</c:v>
          </c:tx>
          <c:cat>
            <c:strRef>
              <c:f>'Hail_Return_Period_Loss'!$A$5:$A$13</c:f>
              <c:strCache>
                <c:ptCount val="0"/>
              </c:strCache>
            </c:strRef>
          </c:cat>
          <c:val>
            <c:numRef>
              <c:f>'Hail_Return_Period_Loss'!$F$5:$F$13</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Return period (years)</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%TIV loss</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1.xml><?xml version="1.0" encoding="utf-8"?>
<c:chartSpace xmlns:c="http://schemas.openxmlformats.org/drawingml/2006/chart">
  <c:lang val="en-US"/>
  <c:roundedCorners val="0"/>
  <c:chart>
    <c:plotArea>
      <c:layout/>
      <c:barChart>
        <c:barDir val="col"/>
        <c:grouping val="clustered"/>
        <c:varyColors val="0"/>
        <c:ser>
          <c:idx val="0"/>
          <c:order val="0"/>
          <c:tx>
            <c:v>EAL</c:v>
          </c:tx>
          <c:cat>
            <c:strRef>
              <c:f>'Hail_EAL_By_Bin'!$A$5:$A$13</c:f>
              <c:strCache>
                <c:ptCount val="0"/>
              </c:strCache>
            </c:strRef>
          </c:cat>
          <c:val>
            <c:numRef>
              <c:f>'Hail_EAL_By_Bin'!$J$5:$J$13</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MESH bin (mm)</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EAL USD</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2.xml><?xml version="1.0" encoding="utf-8"?>
<c:chartSpace xmlns:c="http://schemas.openxmlformats.org/drawingml/2006/chart">
  <c:lang val="en-US"/>
  <c:roundedCorners val="0"/>
  <c:chart>
    <c:plotArea>
      <c:layout/>
      <c:barChart>
        <c:barDir val="col"/>
        <c:grouping val="clustered"/>
        <c:varyColors val="0"/>
        <c:ser>
          <c:idx val="0"/>
          <c:order val="0"/>
          <c:tx>
            <c:v>%TIV@50</c:v>
          </c:tx>
          <c:cat>
            <c:strRef>
              <c:f>'Hail_Sensitivity'!$A$5:$A$13</c:f>
              <c:strCache>
                <c:ptCount val="0"/>
              </c:strCache>
            </c:strRef>
          </c:cat>
          <c:val>
            <c:numRef>
              <c:f>'Hail_Sensitivity'!$I$5:$I$13</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Scenario</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%TIV at 50mm</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3.xml><?xml version="1.0" encoding="utf-8"?>
<c:chartSpace xmlns:c="http://schemas.openxmlformats.org/drawingml/2006/chart">
  <c:lang val="en-US"/>
  <c:roundedCorners val="0"/>
  <c:chart>
    <c:plotArea>
      <c:layout/>
      <c:lineChart>
        <c:grouping val="standard"/>
        <c:varyColors val="0"/>
        <c:ser>
          <c:idx val="0"/>
          <c:order val="0"/>
          <c:tx>
            <c:v>Conditioned loss USD</c:v>
          </c:tx>
          <c:cat>
            <c:strRef>
              <c:f>'Hail_Site_Loss'!$A$5:$A$25</c:f>
              <c:strCache>
                <c:ptCount val="0"/>
              </c:strCache>
            </c:strRef>
          </c:cat>
          <c:val>
            <c:numRef>
              <c:f>'Hail_Site_Loss'!$I$5:$I$25</c:f>
              <c:numCache>
                <c:formatCode>$#,##0</c:formatCode>
                <c:ptCount val="0"/>
              </c:numCache>
            </c:numRef>
          </c:val>
          <c:smooth val="0"/>
        </c:ser>
        <c:ser>
          <c:idx val="1"/>
          <c:order val="1"/>
          <c:tx>
            <c:v>Failure-unit cap</c:v>
          </c:tx>
          <c:cat>
            <c:strRef>
              <c:f>'Hail_Site_Loss'!$A$5:$A$25</c:f>
              <c:strCache>
                <c:ptCount val="0"/>
              </c:strCache>
            </c:strRef>
          </c:cat>
          <c:val>
            <c:numRef>
              <c:f>'Hail_Site_Loss'!$K$5:$K$25</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MESH-equivalent diameter (mm)</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sz="750" b="1"/>
                  <a:t>Loss USD</a:t>
                </a:r>
              </a:p>
            </c:rich>
          </c:tx>
          <c:overlay val="0"/>
          <c:txPr>
            <a:bodyPr xmlns:a="http://schemas.openxmlformats.org/drawingml/2006/main" anchorCtr="1"/>
            <a:lstStyle xmlns:a="http://schemas.openxmlformats.org/drawingml/2006/main"/>
            <a:p xmlns:a="http://schemas.openxmlformats.org/drawingml/2006/main">
              <a:pPr>
                <a:defRPr sz="750" b="1"/>
              </a:pPr>
            </a:p>
          </c:txPr>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18</xdr:col>
      <xdr:colOff>0</xdr:colOff>
      <xdr:row>1</xdr:row>
      <xdr:rowOff>0</xdr:rowOff>
    </xdr:from>
    <xdr:to>
      <xdr:col>30</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244e832b4e94102"/>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19</xdr:row>
      <xdr:rowOff>0</xdr:rowOff>
    </xdr:from>
    <xdr:to>
      <xdr:col>7</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11aace6fa974672"/>
        </a:graphicData>
      </a:graphic>
    </xdr:graphicFrame>
    <xdr:clientData/>
  </xdr:twoCellAnchor>
  <xdr:twoCellAnchor>
    <xdr:from>
      <xdr:col>7</xdr:col>
      <xdr:colOff>0</xdr:colOff>
      <xdr:row>19</xdr:row>
      <xdr:rowOff>0</xdr:rowOff>
    </xdr:from>
    <xdr:to>
      <xdr:col>15</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686d58033514bc6"/>
        </a:graphicData>
      </a:graphic>
    </xdr:graphicFrame>
    <xdr:clientData/>
  </xdr:twoCellAnchor>
</xdr:wsDr>
</file>

<file path=xl/drawings/drawing3.xml><?xml version="1.0" encoding="utf-8"?>
<xdr:wsDr xmlns:xdr="http://schemas.openxmlformats.org/drawingml/2006/spreadsheetDrawing">
  <xdr:oneCellAnchor>
    <xdr:from>
      <xdr:col>0</xdr:col>
      <xdr:colOff>0</xdr:colOff>
      <xdr:row>14</xdr:row>
      <xdr:rowOff>0</xdr:rowOff>
    </xdr:from>
    <xdr:ext cx="6191250" cy="28575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c4e536a563c4bed"/>
        </a:graphicData>
      </a:graphic>
    </xdr:graphicFrame>
    <xdr:clientData/>
  </xdr:oneCellAnchor>
  <xdr:oneCellAnchor>
    <xdr:from>
      <xdr:col>6</xdr:col>
      <xdr:colOff>0</xdr:colOff>
      <xdr:row>14</xdr:row>
      <xdr:rowOff>0</xdr:rowOff>
    </xdr:from>
    <xdr:ext cx="6191250" cy="2857500"/>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1e1774c3d194db8"/>
        </a:graphicData>
      </a:graphic>
    </xdr:graphicFrame>
    <xdr:clientData/>
  </xdr:oneCellAnchor>
  <xdr:oneCellAnchor>
    <xdr:from>
      <xdr:col>0</xdr:col>
      <xdr:colOff>0</xdr:colOff>
      <xdr:row>32</xdr:row>
      <xdr:rowOff>0</xdr:rowOff>
    </xdr:from>
    <xdr:ext cx="6191250" cy="2857500"/>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e95ecce9ebf4b4d"/>
        </a:graphicData>
      </a:graphic>
    </xdr:graphicFrame>
    <xdr:clientData/>
  </xdr:oneCellAnchor>
  <xdr:oneCellAnchor>
    <xdr:from>
      <xdr:col>6</xdr:col>
      <xdr:colOff>0</xdr:colOff>
      <xdr:row>32</xdr:row>
      <xdr:rowOff>0</xdr:rowOff>
    </xdr:from>
    <xdr:ext cx="6191250" cy="2857500"/>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f23d007162d42cd"/>
        </a:graphicData>
      </a:graphic>
    </xdr:graphicFrame>
    <xdr:clientData/>
  </xdr:oneCellAnchor>
</xdr:wsDr>
</file>

<file path=xl/drawings/drawing4.xml><?xml version="1.0" encoding="utf-8"?>
<xdr:wsDr xmlns:xdr="http://schemas.openxmlformats.org/drawingml/2006/spreadsheetDrawing">
  <xdr:twoCellAnchor>
    <xdr:from>
      <xdr:col>0</xdr:col>
      <xdr:colOff>0</xdr:colOff>
      <xdr:row>15</xdr:row>
      <xdr:rowOff>0</xdr:rowOff>
    </xdr:from>
    <xdr:to>
      <xdr:col>8</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7c3d60f33654f67"/>
        </a:graphicData>
      </a:graphic>
    </xdr:graphicFrame>
    <xdr:clientData/>
  </xdr:twoCellAnchor>
  <xdr:twoCellAnchor>
    <xdr:from>
      <xdr:col>8</xdr:col>
      <xdr:colOff>0</xdr:colOff>
      <xdr:row>15</xdr:row>
      <xdr:rowOff>0</xdr:rowOff>
    </xdr:from>
    <xdr:to>
      <xdr:col>16</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4a0692b60094753"/>
        </a:graphicData>
      </a:graphic>
    </xdr:graphicFrame>
    <xdr:clientData/>
  </xdr:twoCellAnchor>
  <xdr:twoCellAnchor>
    <xdr:from>
      <xdr:col>0</xdr:col>
      <xdr:colOff>0</xdr:colOff>
      <xdr:row>32</xdr:row>
      <xdr:rowOff>0</xdr:rowOff>
    </xdr:from>
    <xdr:to>
      <xdr:col>8</xdr:col>
      <xdr:colOff>0</xdr:colOff>
      <xdr:row>48</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1987532bc8746f3"/>
        </a:graphicData>
      </a:graphic>
    </xdr:graphicFrame>
    <xdr:clientData/>
  </xdr:twoCellAnchor>
  <xdr:twoCellAnchor>
    <xdr:from>
      <xdr:col>8</xdr:col>
      <xdr:colOff>0</xdr:colOff>
      <xdr:row>32</xdr:row>
      <xdr:rowOff>0</xdr:rowOff>
    </xdr:from>
    <xdr:to>
      <xdr:col>16</xdr:col>
      <xdr:colOff>0</xdr:colOff>
      <xdr:row>48</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8cf6979088b4e95"/>
        </a:graphicData>
      </a:graphic>
    </xdr:graphicFrame>
    <xdr:clientData/>
  </xdr:twoCellAnchor>
  <xdr:twoCellAnchor>
    <xdr:from>
      <xdr:col>0</xdr:col>
      <xdr:colOff>0</xdr:colOff>
      <xdr:row>49</xdr:row>
      <xdr:rowOff>0</xdr:rowOff>
    </xdr:from>
    <xdr:to>
      <xdr:col>8</xdr:col>
      <xdr:colOff>0</xdr:colOff>
      <xdr:row>65</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9e94564a1d845a4"/>
        </a:graphicData>
      </a:graphic>
    </xdr:graphicFrame>
    <xdr:clientData/>
  </xdr:twoCellAnchor>
  <xdr:twoCellAnchor>
    <xdr:from>
      <xdr:col>8</xdr:col>
      <xdr:colOff>0</xdr:colOff>
      <xdr:row>49</xdr:row>
      <xdr:rowOff>0</xdr:rowOff>
    </xdr:from>
    <xdr:to>
      <xdr:col>16</xdr:col>
      <xdr:colOff>0</xdr:colOff>
      <xdr:row>65</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882f91cf7d4494e"/>
        </a:graphicData>
      </a:graphic>
    </xdr:graphicFrame>
    <xdr:clientData/>
  </xdr:twoCellAnchor>
</xdr:wsDr>
</file>

<file path=xl/tables/table1.xml><?xml version="1.0" encoding="utf-8"?>
<x:table xmlns:x="http://schemas.openxmlformats.org/spreadsheetml/2006/main" id="1" name="AssetInputs" displayName="AssetInputs" ref="A1:L3" headerRowCount="1">
  <x:tableColumns count="12">
    <x:tableColumn id="1" name="asset_input_id"/>
    <x:tableColumn id="2" name="tech"/>
    <x:tableColumn id="3" name="asset_class"/>
    <x:tableColumn id="4" name="default_asset_size_mw"/>
    <x:tableColumn id="5" name="capacity_basis"/>
    <x:tableColumn id="6" name="installed_capex_usd_per_kw"/>
    <x:tableColumn id="7" name="physical_replaceable_usd_per_kw"/>
    <x:tableColumn id="8" name="excluded_sunk_soft_usd_per_kw"/>
    <x:tableColumn id="9" name="installed_value_usd"/>
    <x:tableColumn id="10" name="physical_value_usd"/>
    <x:tableColumn id="11" name="source_artifact"/>
    <x:tableColumn id="12" name="notes"/>
  </x:tableColumns>
  <x:tableStyleInfo name="TableStyleMedium2" showRowStripes="1"/>
</x:table>
</file>

<file path=xl/tables/table2.xml><?xml version="1.0" encoding="utf-8"?>
<x:table xmlns:x="http://schemas.openxmlformats.org/spreadsheetml/2006/main" id="2" name="CellIndex" displayName="CellIndex" ref="A1:Q15" headerRowCount="1">
  <x:tableColumns count="17">
    <x:tableColumn id="1" name="cell_id"/>
    <x:tableColumn id="2" name="hazard"/>
    <x:tableColumn id="3" name="asset_class"/>
    <x:tableColumn id="4" name="cell_label"/>
    <x:tableColumn id="5" name="archetype_role"/>
    <x:tableColumn id="6" name="build_phase"/>
    <x:tableColumn id="7" name="status"/>
    <x:tableColumn id="8" name="materiality_score"/>
    <x:tableColumn id="9" name="evidence_score"/>
    <x:tableColumn id="10" name="method_coverage_score"/>
    <x:tableColumn id="11" name="valuation_readiness_score"/>
    <x:tableColumn id="12" name="implementation_complexity"/>
    <x:tableColumn id="13" name="blocker_penalty"/>
    <x:tableColumn id="14" name="priority_score"/>
    <x:tableColumn id="15" name="cap_binding_risk"/>
    <x:tableColumn id="16" name="recommended_action"/>
    <x:tableColumn id="17" name="notes"/>
  </x:tableColumns>
  <x:tableStyleInfo name="TableStyleMedium2" showRowStripes="1"/>
</x:table>
</file>

<file path=xl/tables/table3.xml><?xml version="1.0" encoding="utf-8"?>
<x:table xmlns:x="http://schemas.openxmlformats.org/spreadsheetml/2006/main" id="3" name="RecordSchema" displayName="RecordSchema" ref="A1:J32" headerRowCount="1">
  <x:tableColumns count="10">
    <x:tableColumn id="1" name="field_name"/>
    <x:tableColumn id="2" name="field_group"/>
    <x:tableColumn id="3" name="description"/>
    <x:tableColumn id="4" name="required"/>
    <x:tableColumn id="5" name="allowed_values"/>
    <x:tableColumn id="6" name="governed_by_doc"/>
    <x:tableColumn id="7" name="governing_rule"/>
    <x:tableColumn id="8" name="source_or_input_type"/>
    <x:tableColumn id="9" name="example_value"/>
    <x:tableColumn id="10" name="qa_check"/>
  </x:tableColumns>
  <x:tableStyleInfo name="TableStyleMedium2" showRowStripes="1"/>
</x:table>
</file>

<file path=xl/tables/table4.xml><?xml version="1.0" encoding="utf-8"?>
<x:table xmlns:x="http://schemas.openxmlformats.org/spreadsheetml/2006/main" id="4" name="GovernedByMap" displayName="GovernedByMap" ref="A1:F9" headerRowCount="1">
  <x:tableColumns count="6">
    <x:tableColumn id="1" name="governed_by_doc"/>
    <x:tableColumn id="2" name="decision_area"/>
    <x:tableColumn id="3" name="load_bearing_rule"/>
    <x:tableColumn id="4" name="workbook_fields_governed"/>
    <x:tableColumn id="5" name="failure_if_ignored"/>
    <x:tableColumn id="6" name="source_file"/>
  </x:tableColumns>
  <x:tableStyleInfo name="TableStyleMedium2" showRowStripes="1"/>
</x:table>
</file>

<file path=xl/tables/table5.xml><?xml version="1.0" encoding="utf-8"?>
<x:table xmlns:x="http://schemas.openxmlformats.org/spreadsheetml/2006/main" id="5" name="ValueLink" displayName="ValueLink" ref="A1:U15" headerRowCount="1">
  <x:tableColumns count="21">
    <x:tableColumn id="1" name="value_link_id"/>
    <x:tableColumn id="2" name="tech"/>
    <x:tableColumn id="3" name="asset_input_id"/>
    <x:tableColumn id="4" name="cell_id"/>
    <x:tableColumn id="5" name="failure_unit_id"/>
    <x:tableColumn id="6" name="subsystem"/>
    <x:tableColumn id="7" name="component"/>
    <x:tableColumn id="8" name="value_bucket"/>
    <x:tableColumn id="9" name="asset_scope"/>
    <x:tableColumn id="10" name="basis"/>
    <x:tableColumn id="11" name="physical_base_usd"/>
    <x:tableColumn id="12" name="value_share_physical_base"/>
    <x:tableColumn id="13" name="at_risk_f"/>
    <x:tableColumn id="14" name="f_kind"/>
    <x:tableColumn id="15" name="exposure_fraction_default"/>
    <x:tableColumn id="16" name="cap_L_usd"/>
    <x:tableColumn id="17" name="cap_L_asset_pct"/>
    <x:tableColumn id="18" name="valuation_source_artifact"/>
    <x:tableColumn id="19" name="source_url"/>
    <x:tableColumn id="20" name="status"/>
    <x:tableColumn id="21" name="notes"/>
  </x:tableColumns>
  <x:tableStyleInfo name="TableStyleMedium2" showRowStripes="1"/>
</x:table>
</file>

<file path=xl/tables/table6.xml><?xml version="1.0" encoding="utf-8"?>
<x:table xmlns:x="http://schemas.openxmlformats.org/spreadsheetml/2006/main" id="6" name="CurveRecords" displayName="CurveRecords" ref="A1:X15" headerRowCount="1">
  <x:tableColumns count="24">
    <x:tableColumn id="1" name="curve_record_id"/>
    <x:tableColumn id="2" name="schema_version"/>
    <x:tableColumn id="3" name="cell_id"/>
    <x:tableColumn id="4" name="hazard"/>
    <x:tableColumn id="5" name="asset_class"/>
    <x:tableColumn id="6" name="failure_unit_id"/>
    <x:tableColumn id="7" name="failure_unit_label"/>
    <x:tableColumn id="8" name="asset_scope"/>
    <x:tableColumn id="9" name="subsystem"/>
    <x:tableColumn id="10" name="component"/>
    <x:tableColumn id="11" name="x_axis_id"/>
    <x:tableColumn id="12" name="x_axis_unit"/>
    <x:tableColumn id="13" name="chain_node"/>
    <x:tableColumn id="14" name="conditioners"/>
    <x:tableColumn id="15" name="selectors"/>
    <x:tableColumn id="16" name="value_link_id"/>
    <x:tableColumn id="17" name="curve_form"/>
    <x:tableColumn id="18" name="parameter_set_id"/>
    <x:tableColumn id="19" name="evidence_id"/>
    <x:tableColumn id="20" name="emit_policy_id"/>
    <x:tableColumn id="21" name="metrics_policy_id"/>
    <x:tableColumn id="22" name="status"/>
    <x:tableColumn id="23" name="open_seam_id"/>
    <x:tableColumn id="24" name="notes"/>
  </x:tableColumns>
  <x:tableStyleInfo name="TableStyleMedium2" showRowStripes="1"/>
</x:table>
</file>

<file path=xl/tables/table7.xml><?xml version="1.0" encoding="utf-8"?>
<x:table xmlns:x="http://schemas.openxmlformats.org/spreadsheetml/2006/main" id="7" name="XAxisMap" displayName="XAxisMap" ref="A1:L9" headerRowCount="1">
  <x:tableColumns count="12">
    <x:tableColumn id="1" name="x_axis_id"/>
    <x:tableColumn id="2" name="hazard"/>
    <x:tableColumn id="3" name="x_axis_label"/>
    <x:tableColumn id="4" name="unit"/>
    <x:tableColumn id="5" name="chain_node"/>
    <x:tableColumn id="6" name="candidate_status"/>
    <x:tableColumn id="7" name="composite_or_split_logic"/>
    <x:tableColumn id="8" name="default_conditioners"/>
    <x:tableColumn id="9" name="default_selectors"/>
    <x:tableColumn id="10" name="sourceability"/>
    <x:tableColumn id="11" name="status"/>
    <x:tableColumn id="12" name="notes"/>
  </x:tableColumns>
  <x:tableStyleInfo name="TableStyleMedium2" showRowStripes="1"/>
</x:table>
</file>

<file path=xl/tables/table8.xml><?xml version="1.0" encoding="utf-8"?>
<x:table xmlns:x="http://schemas.openxmlformats.org/spreadsheetml/2006/main" id="8" name="ConditionersSelectors" displayName="ConditionersSelectors" ref="A1:K13" headerRowCount="1">
  <x:tableColumns count="11">
    <x:tableColumn id="1" name="condition_selector_id"/>
    <x:tableColumn id="2" name="role"/>
    <x:tableColumn id="3" name="cell_id"/>
    <x:tableColumn id="4" name="related_x_axis_id"/>
    <x:tableColumn id="5" name="label"/>
    <x:tableColumn id="6" name="type"/>
    <x:tableColumn id="7" name="when_to_use"/>
    <x:tableColumn id="8" name="source_type"/>
    <x:tableColumn id="9" name="default_treatment"/>
    <x:tableColumn id="10" name="open_seam_id"/>
    <x:tableColumn id="11" name="notes"/>
  </x:tableColumns>
  <x:tableStyleInfo name="TableStyleMedium2" showRowStripes="1"/>
</x:table>
</file>

<file path=xl/tables/table9.xml><?xml version="1.0" encoding="utf-8"?>
<x:table xmlns:x="http://schemas.openxmlformats.org/spreadsheetml/2006/main" id="9" name="CurveParams" displayName="CurveParams" ref="A1:N15" headerRowCount="1">
  <x:tableColumns count="14">
    <x:tableColumn id="1" name="parameter_set_id"/>
    <x:tableColumn id="2" name="curve_record_id"/>
    <x:tableColumn id="3" name="curve_form"/>
    <x:tableColumn id="4" name="L_cap_usd_formula_or_ref"/>
    <x:tableColumn id="5" name="L_cap_asset_pct_formula_or_ref"/>
    <x:tableColumn id="6" name="threshold_low"/>
    <x:tableColumn id="7" name="threshold_mid"/>
    <x:tableColumn id="8" name="threshold_high"/>
    <x:tableColumn id="9" name="x0"/>
    <x:tableColumn id="10" name="k"/>
    <x:tableColumn id="11" name="damage_state_definitions"/>
    <x:tableColumn id="12" name="parameter_status"/>
    <x:tableColumn id="13" name="evidence_id"/>
    <x:tableColumn id="14" name="notes"/>
  </x:tableColumns>
  <x:tableStyleInfo name="TableStyleMedium2" showRowStripes="1"/>
</x:table>
</file>

<file path=xl/tables/table10.xml><?xml version="1.0" encoding="utf-8"?>
<x:table xmlns:x="http://schemas.openxmlformats.org/spreadsheetml/2006/main" id="10" name="EvidenceLog" displayName="EvidenceLog" ref="A1:J23" headerRowCount="1">
  <x:tableColumns count="10">
    <x:tableColumn id="1" name="evidence_id"/>
    <x:tableColumn id="2" name="evidence_class"/>
    <x:tableColumn id="3" name="source_name"/>
    <x:tableColumn id="4" name="source_location_or_url"/>
    <x:tableColumn id="5" name="applies_to"/>
    <x:tableColumn id="6" name="parameter_or_field"/>
    <x:tableColumn id="7" name="trust_tier"/>
    <x:tableColumn id="8" name="vintage"/>
    <x:tableColumn id="9" name="source_role"/>
    <x:tableColumn id="10" name="caveat"/>
  </x:tableColumns>
  <x:tableStyleInfo name="TableStyleMedium2" showRowStripes="1"/>
</x:table>
</file>

<file path=xl/tables/table11.xml><?xml version="1.0" encoding="utf-8"?>
<x:table xmlns:x="http://schemas.openxmlformats.org/spreadsheetml/2006/main" id="11" name="CapBindingPreflight" displayName="CapBindingPreflight" ref="A1:Q14" headerRowCount="1">
  <x:tableColumns count="17">
    <x:tableColumn id="1" name="cell_id"/>
    <x:tableColumn id="2" name="failure_unit_id"/>
    <x:tableColumn id="3" name="value_link_id"/>
    <x:tableColumn id="4" name="basis"/>
    <x:tableColumn id="5" name="physical_base_usd"/>
    <x:tableColumn id="6" name="value_share_physical_base"/>
    <x:tableColumn id="7" name="at_risk_f"/>
    <x:tableColumn id="8" name="exposure_fraction_default"/>
    <x:tableColumn id="9" name="cap_L_usd"/>
    <x:tableColumn id="10" name="cap_L_asset_pct"/>
    <x:tableColumn id="11" name="rough_p_cap_region"/>
    <x:tableColumn id="12" name="rough_curve_spread_score"/>
    <x:tableColumn id="13" name="scalar_bias_risk"/>
    <x:tableColumn id="14" name="EAL_status"/>
    <x:tableColumn id="15" name="tail_status"/>
    <x:tableColumn id="16" name="preflight_status"/>
    <x:tableColumn id="17" name="notes"/>
  </x:tableColumns>
  <x:tableStyleInfo name="TableStyleMedium2" showRowStripes="1"/>
</x:table>
</file>

<file path=xl/tables/table12.xml><?xml version="1.0" encoding="utf-8"?>
<x:table xmlns:x="http://schemas.openxmlformats.org/spreadsheetml/2006/main" id="12" name="EmitMetrics" displayName="EmitMetrics" ref="A1:M15" headerRowCount="1">
  <x:tableColumns count="13">
    <x:tableColumn id="1" name="emit_policy_id"/>
    <x:tableColumn id="2" name="metrics_policy_id"/>
    <x:tableColumn id="3" name="curve_record_id"/>
    <x:tableColumn id="4" name="emit_type"/>
    <x:tableColumn id="5" name="spread_available"/>
    <x:tableColumn id="6" name="cap_binding_risk"/>
    <x:tableColumn id="7" name="EAL_allowed"/>
    <x:tableColumn id="8" name="EAL_status"/>
    <x:tableColumn id="9" name="tail_allowed"/>
    <x:tableColumn id="10" name="tail_status"/>
    <x:tableColumn id="11" name="financial_terms_included"/>
    <x:tableColumn id="12" name="withheld_reason"/>
    <x:tableColumn id="13" name="notes"/>
  </x:tableColumns>
  <x:tableStyleInfo name="TableStyleMedium2" showRowStripes="1"/>
</x:table>
</file>

<file path=xl/tables/table13.xml><?xml version="1.0" encoding="utf-8"?>
<x:table xmlns:x="http://schemas.openxmlformats.org/spreadsheetml/2006/main" id="13" name="CellAssembly" displayName="CellAssembly" ref="A1:J5" headerRowCount="1">
  <x:tableColumns count="10">
    <x:tableColumn id="1" name="cell_id"/>
    <x:tableColumn id="2" name="assembly_rule"/>
    <x:tableColumn id="3" name="included_failure_units"/>
    <x:tableColumn id="4" name="value_reconciliation_scope"/>
    <x:tableColumn id="5" name="spatial_factor_policy"/>
    <x:tableColumn id="6" name="combination_policy"/>
    <x:tableColumn id="7" name="double_count_guard"/>
    <x:tableColumn id="8" name="default_loss_formula"/>
    <x:tableColumn id="9" name="metric_policy"/>
    <x:tableColumn id="10" name="notes"/>
  </x:tableColumns>
  <x:tableStyleInfo name="TableStyleMedium2" showRowStripes="1"/>
</x:table>
</file>

<file path=xl/tables/table14.xml><?xml version="1.0" encoding="utf-8"?>
<x:table xmlns:x="http://schemas.openxmlformats.org/spreadsheetml/2006/main" id="14" name="QAChecks" displayName="QAChecks" ref="A1:H13" headerRowCount="1">
  <x:tableColumns count="8">
    <x:tableColumn id="1" name="check_id"/>
    <x:tableColumn id="2" name="category"/>
    <x:tableColumn id="3" name="rule"/>
    <x:tableColumn id="4" name="workbook_location"/>
    <x:tableColumn id="5" name="severity"/>
    <x:tableColumn id="6" name="status"/>
    <x:tableColumn id="7" name="reviewer_action"/>
    <x:tableColumn id="8" name="notes"/>
  </x:tableColumns>
  <x:tableStyleInfo name="TableStyleMedium2" showRowStripes="1"/>
</x:table>
</file>

<file path=xl/tables/table15.xml><?xml version="1.0" encoding="utf-8"?>
<x:table xmlns:x="http://schemas.openxmlformats.org/spreadsheetml/2006/main" id="15" name="OpenSeamsIndex" displayName="OpenSeamsIndex" ref="A1:K15" headerRowCount="1">
  <x:tableColumns count="11">
    <x:tableColumn id="1" name="open_seam_id"/>
    <x:tableColumn id="2" name="cell_id"/>
    <x:tableColumn id="3" name="seam_name"/>
    <x:tableColumn id="4" name="severity"/>
    <x:tableColumn id="5" name="blocks_EAL"/>
    <x:tableColumn id="6" name="blocks_tail"/>
    <x:tableColumn id="7" name="description"/>
    <x:tableColumn id="8" name="proposed_resolution"/>
    <x:tableColumn id="9" name="owner_placeholder"/>
    <x:tableColumn id="10" name="status"/>
    <x:tableColumn id="11" name="notes"/>
  </x:tableColumns>
  <x:tableStyleInfo name="TableStyleMedium2" showRowStripes="1"/>
</x:table>
</file>

<file path=xl/tables/table16.xml><?xml version="1.0" encoding="utf-8"?>
<x:table xmlns:x="http://schemas.openxmlformats.org/spreadsheetml/2006/main" id="16" name="Sources" displayName="Sources" ref="A1:F8" headerRowCount="1">
  <x:tableColumns count="6">
    <x:tableColumn id="1" name="source_id"/>
    <x:tableColumn id="2" name="source_type"/>
    <x:tableColumn id="3" name="title"/>
    <x:tableColumn id="4" name="location_or_url"/>
    <x:tableColumn id="5" name="used_for"/>
    <x:tableColumn id="6" name="notes"/>
  </x:tableColumns>
  <x:tableStyleInfo name="TableStyleMedium2" showRowStripes="1"/>
</x:table>
</file>

<file path=xl/tables/table17.xml><?xml version="1.0" encoding="utf-8"?>
<x:table xmlns:x="http://schemas.openxmlformats.org/spreadsheetml/2006/main" id="17" name="HailSiteInputsTable" displayName="HailSiteInputsTable" ref="A4:D25" headerRowCount="1">
  <x:tableColumns count="4">
    <x:tableColumn id="1" name="Input"/>
    <x:tableColumn id="2" name="Value"/>
    <x:tableColumn id="3" name="Unit"/>
    <x:tableColumn id="4" name="Status / notes"/>
  </x:tableColumns>
  <x:tableStyleInfo name="TableStyleMedium2" showRowStripes="1"/>
</x:table>
</file>

<file path=xl/tables/table18.xml><?xml version="1.0" encoding="utf-8"?>
<x:table xmlns:x="http://schemas.openxmlformats.org/spreadsheetml/2006/main" id="18" name="HailModuleCurvesTable" displayName="HailModuleCurvesTable" ref="A4:G7" headerRowCount="1">
  <x:tableColumns count="7">
    <x:tableColumn id="1" name="module_archetype"/>
    <x:tableColumn id="2" name="D50_mm"/>
    <x:tableColumn id="3" name="k_1_per_mm"/>
    <x:tableColumn id="4" name="curve_status"/>
    <x:tableColumn id="5" name="confidence"/>
    <x:tableColumn id="6" name="source_anchor"/>
    <x:tableColumn id="7" name="notes"/>
  </x:tableColumns>
  <x:tableStyleInfo name="TableStyleMedium2" showRowStripes="1"/>
</x:table>
</file>

<file path=xl/tables/table19.xml><?xml version="1.0" encoding="utf-8"?>
<x:table xmlns:x="http://schemas.openxmlformats.org/spreadsheetml/2006/main" id="19" name="HailFrequencyTable" displayName="HailFrequencyTable" ref="A4:E13" headerRowCount="1">
  <x:tableColumns count="5">
    <x:tableColumn id="1" name="threshold_D_mm"/>
    <x:tableColumn id="2" name="threshold_D_in"/>
    <x:tableColumn id="3" name="return_period_years"/>
    <x:tableColumn id="4" name="annual_exceedance_probability"/>
    <x:tableColumn id="5" name="source / notes"/>
  </x:tableColumns>
  <x:tableStyleInfo name="TableStyleMedium2" showRowStripes="1"/>
</x:table>
</file>

<file path=xl/tables/table20.xml><?xml version="1.0" encoding="utf-8"?>
<x:table xmlns:x="http://schemas.openxmlformats.org/spreadsheetml/2006/main" id="20" name="HailSiteLossTable" displayName="HailSiteLossTable" ref="A4:J25" headerRowCount="1">
  <x:tableColumns count="10">
    <x:tableColumn id="1" name="D_mm"/>
    <x:tableColumn id="2" name="D_in"/>
    <x:tableColumn id="3" name="unstowed_module_DR"/>
    <x:tableColumn id="4" name="stowed_module_DR"/>
    <x:tableColumn id="5" name="conditioned_module_DR"/>
    <x:tableColumn id="6" name="PV_ARRAY_loss_pct"/>
    <x:tableColumn id="7" name="physical_base_loss_pct"/>
    <x:tableColumn id="8" name="TIV_loss_pct"/>
    <x:tableColumn id="9" name="loss_USD"/>
    <x:tableColumn id="10" name="cap_utilization"/>
  </x:tableColumns>
  <x:tableStyleInfo name="TableStyleMedium2" showRowStripes="1"/>
</x:table>
</file>

<file path=xl/tables/table21.xml><?xml version="1.0" encoding="utf-8"?>
<x:table xmlns:x="http://schemas.openxmlformats.org/spreadsheetml/2006/main" id="21" name="HailReturnPeriodLossTable" displayName="HailReturnPeriodLossTable" ref="A4:H13" headerRowCount="1">
  <x:tableColumns count="8">
    <x:tableColumn id="1" name="return_period_years"/>
    <x:tableColumn id="2" name="threshold_D_mm"/>
    <x:tableColumn id="3" name="conditioned_module_DR"/>
    <x:tableColumn id="4" name="PV_ARRAY_loss_pct"/>
    <x:tableColumn id="5" name="physical_base_loss_pct"/>
    <x:tableColumn id="6" name="TIV_loss_pct"/>
    <x:tableColumn id="7" name="loss_USD"/>
    <x:tableColumn id="8" name="cap_utilization"/>
  </x:tableColumns>
  <x:tableStyleInfo name="TableStyleMedium2" showRowStripes="1"/>
</x:table>
</file>

<file path=xl/tables/table22.xml><?xml version="1.0" encoding="utf-8"?>
<x:table xmlns:x="http://schemas.openxmlformats.org/spreadsheetml/2006/main" id="22" name="HailEALBinTable" displayName="HailEALBinTable" ref="A4:L13" headerRowCount="1">
  <x:tableColumns count="12">
    <x:tableColumn id="1" name="bin_id"/>
    <x:tableColumn id="2" name="D_low_mm"/>
    <x:tableColumn id="3" name="D_high_mm"/>
    <x:tableColumn id="4" name="lambda_low"/>
    <x:tableColumn id="5" name="lambda_high"/>
    <x:tableColumn id="6" name="bin_frequency"/>
    <x:tableColumn id="7" name="D_mid_mm"/>
    <x:tableColumn id="8" name="conditioned_DR_mid"/>
    <x:tableColumn id="9" name="loss_USD_mid"/>
    <x:tableColumn id="10" name="EAL_USD"/>
    <x:tableColumn id="11" name="EAL_share"/>
    <x:tableColumn id="12" name="notes"/>
  </x:tableColumns>
  <x:tableStyleInfo name="TableStyleMedium2" showRowStripes="1"/>
</x:table>
</file>

<file path=xl/tables/table23.xml><?xml version="1.0" encoding="utf-8"?>
<x:table xmlns:x="http://schemas.openxmlformats.org/spreadsheetml/2006/main" id="23" name="HailSensitivityTable" displayName="HailSensitivityTable" ref="A4:L13" headerRowCount="1">
  <x:tableColumns count="12">
    <x:tableColumn id="1" name="scenario"/>
    <x:tableColumn id="2" name="D50_mm"/>
    <x:tableColumn id="3" name="k_1_per_mm"/>
    <x:tableColumn id="4" name="f_hail"/>
    <x:tableColumn id="5" name="P_stowed"/>
    <x:tableColumn id="6" name="exposure_fraction"/>
    <x:tableColumn id="7" name="stow_shift_mm"/>
    <x:tableColumn id="8" name="stowed_max_mult"/>
    <x:tableColumn id="9" name="%TIV_at_50mm"/>
    <x:tableColumn id="10" name="%TIV_at_65mm"/>
    <x:tableColumn id="11" name="loss_at_50_USD"/>
    <x:tableColumn id="12" name="notes"/>
  </x:tableColumns>
  <x:tableStyleInfo name="TableStyleMedium2" showRowStripes="1"/>
</x:table>
</file>

<file path=xl/tables/table24.xml><?xml version="1.0" encoding="utf-8"?>
<x:table xmlns:x="http://schemas.openxmlformats.org/spreadsheetml/2006/main" id="24" name="HailV11QATable" displayName="HailV11QATable" ref="A3:F11" headerRowCount="1">
  <x:tableColumns count="6">
    <x:tableColumn id="1" name="check_id"/>
    <x:tableColumn id="2" name="check"/>
    <x:tableColumn id="3" name="status_formula_or_value"/>
    <x:tableColumn id="4" name="severity"/>
    <x:tableColumn id="5" name="owner"/>
    <x:tableColumn id="6" name="notes"/>
  </x:tableColumns>
  <x:tableStyleInfo name="TableStyleMedium2" showRowStripes="1"/>
</x:table>
</file>

<file path=xl/tables/table25.xml><?xml version="1.0" encoding="utf-8"?>
<x:table xmlns:x="http://schemas.openxmlformats.org/spreadsheetml/2006/main" id="25" name="HailSolarCoverageTable" displayName="HailSolarCoverageTable" ref="A12:F20" headerRowCount="1">
  <x:tableColumns count="6">
    <x:tableColumn id="1" name="Subsystem"/>
    <x:tableColumn id="2" name="Component / bucket"/>
    <x:tableColumn id="3" name="v1 treatment"/>
    <x:tableColumn id="4" name="Damage-code role"/>
    <x:tableColumn id="5" name="Why / notes"/>
    <x:tableColumn id="6" name="Future metadata signal"/>
  </x:tableColumns>
  <x:tableStyleInfo name="TableStyleMedium2" showRowStripes="1"/>
</x:table>
</file>

<file path=xl/tables/table26.xml><?xml version="1.0" encoding="utf-8"?>
<x:table xmlns:x="http://schemas.openxmlformats.org/spreadsheetml/2006/main" id="26" name="HailSolarInterfaceTable" displayName="HailSolarInterfaceTable" ref="A10:F25" headerRowCount="1">
  <x:tableColumns count="6">
    <x:tableColumn id="1" name="Interface object"/>
    <x:tableColumn id="2" name="Field"/>
    <x:tableColumn id="3" name="Required?"/>
    <x:tableColumn id="4" name="Example value"/>
    <x:tableColumn id="5" name="Meaning"/>
    <x:tableColumn id="6" name="Where it comes from"/>
  </x:tableColumns>
  <x:tableStyleInfo name="TableStyleMedium2" showRowStripes="1"/>
</x:table>
</file>

<file path=xl/tables/table27.xml><?xml version="1.0" encoding="utf-8"?>
<x:table xmlns:x="http://schemas.openxmlformats.org/spreadsheetml/2006/main" id="27" name="SelectorConditionerTable" displayName="SelectorConditionerTable" ref="A4:E9" headerRowCount="1">
  <x:tableColumns count="5">
    <x:tableColumn id="1" name="Type"/>
    <x:tableColumn id="2" name="Plain-English meaning"/>
    <x:tableColumn id="3" name="Hail × solar example"/>
    <x:tableColumn id="4" name="Flood × solar contrast"/>
    <x:tableColumn id="5" name="Wind × wind contrast"/>
  </x:tableColumns>
  <x:tableStyleInfo name="TableStyleMedium2" showRowStripes="1"/>
</x:table>
</file>

<file path=xl/tables/table28.xml><?xml version="1.0" encoding="utf-8"?>
<x:table xmlns:x="http://schemas.openxmlformats.org/spreadsheetml/2006/main" id="28" name="HailDerivationIndexTable" displayName="HailDerivationIndexTable" ref="A4:H12" headerRowCount="1">
  <x:tableColumns count="8">
    <x:tableColumn id="1" name="Artifact / sheet"/>
    <x:tableColumn id="2" name="Role"/>
    <x:tableColumn id="3" name="What a reviewer can verify"/>
    <x:tableColumn id="4" name="Key question answered"/>
    <x:tableColumn id="5" name="Status"/>
    <x:tableColumn id="6" name="Primary caveat"/>
    <x:tableColumn id="7" name="Owner"/>
    <x:tableColumn id="8" name="Version"/>
  </x:tableColumns>
  <x:tableStyleInfo name="TableStyleMedium2" showRowStripes="1"/>
</x:table>
</file>

<file path=xl/tables/table29.xml><?xml version="1.0" encoding="utf-8"?>
<x:table xmlns:x="http://schemas.openxmlformats.org/spreadsheetml/2006/main" id="29" name="HailEvidenceParamsTable" displayName="HailEvidenceParamsTable" ref="A4:J17" headerRowCount="1">
  <x:tableColumns count="10">
    <x:tableColumn id="1" name="evidence_id"/>
    <x:tableColumn id="2" name="source"/>
    <x:tableColumn id="3" name="source_class"/>
    <x:tableColumn id="4" name="quoted_or_extracted_fact"/>
    <x:tableColumn id="5" name="numeric_extract"/>
    <x:tableColumn id="6" name="used_for"/>
    <x:tableColumn id="7" name="parameter_or_rule"/>
    <x:tableColumn id="8" name="how_used"/>
    <x:tableColumn id="9" name="trust_tier"/>
    <x:tableColumn id="10" name="source_url"/>
  </x:tableColumns>
  <x:tableStyleInfo name="TableStyleMedium2" showRowStripes="1"/>
</x:table>
</file>

<file path=xl/tables/table30.xml><?xml version="1.0" encoding="utf-8"?>
<x:table xmlns:x="http://schemas.openxmlformats.org/spreadsheetml/2006/main" id="30" name="HailFitFormulaTable" displayName="HailFitFormulaTable" ref="A4:D9" headerRowCount="1">
  <x:tableColumns count="4">
    <x:tableColumn id="1" name="concept"/>
    <x:tableColumn id="2" name="formula"/>
    <x:tableColumn id="3" name="purpose"/>
    <x:tableColumn id="4" name="notes"/>
  </x:tableColumns>
  <x:tableStyleInfo name="TableStyleMedium2" showRowStripes="1"/>
</x:table>
</file>

<file path=xl/tables/table31.xml><?xml version="1.0" encoding="utf-8"?>
<x:table xmlns:x="http://schemas.openxmlformats.org/spreadsheetml/2006/main" id="31" name="HailCurveFitTable" displayName="HailCurveFitTable" ref="A12:L15" headerRowCount="1">
  <x:tableColumns count="12">
    <x:tableColumn id="1" name="curve_id"/>
    <x:tableColumn id="2" name="archetype"/>
    <x:tableColumn id="3" name="D1_mm"/>
    <x:tableColumn id="4" name="p1"/>
    <x:tableColumn id="5" name="D2_mm"/>
    <x:tableColumn id="6" name="p2"/>
    <x:tableColumn id="7" name="k_calc"/>
    <x:tableColumn id="8" name="D50_calc"/>
    <x:tableColumn id="9" name="fit_method"/>
    <x:tableColumn id="10" name="evidence_basis"/>
    <x:tableColumn id="11" name="confidence"/>
    <x:tableColumn id="12" name="caveat"/>
  </x:tableColumns>
  <x:tableStyleInfo name="TableStyleMedium2" showRowStripes="1"/>
</x:table>
</file>

<file path=xl/tables/table32.xml><?xml version="1.0" encoding="utf-8"?>
<x:table xmlns:x="http://schemas.openxmlformats.org/spreadsheetml/2006/main" id="32" name="HailAnchorTable" displayName="HailAnchorTable" ref="A18:J27" headerRowCount="1">
  <x:tableColumns count="10">
    <x:tableColumn id="1" name="anchor_id"/>
    <x:tableColumn id="2" name="curve_id"/>
    <x:tableColumn id="3" name="D_mm"/>
    <x:tableColumn id="4" name="p_break"/>
    <x:tableColumn id="5" name="source"/>
    <x:tableColumn id="6" name="source_role"/>
    <x:tableColumn id="7" name="included_in_fit"/>
    <x:tableColumn id="8" name="hard_or_soft_anchor"/>
    <x:tableColumn id="9" name="caveat"/>
    <x:tableColumn id="10" name="url"/>
  </x:tableColumns>
  <x:tableStyleInfo name="TableStyleMedium2" showRowStripes="1"/>
</x:table>
</file>

<file path=xl/tables/table33.xml><?xml version="1.0" encoding="utf-8"?>
<x:table xmlns:x="http://schemas.openxmlformats.org/spreadsheetml/2006/main" id="33" name="HailAdjustmentDecisionTable" displayName="HailAdjustmentDecisionTable" ref="A4:H11" headerRowCount="1">
  <x:tableColumns count="8">
    <x:tableColumn id="1" name="decision"/>
    <x:tableColumn id="2" name="use when"/>
    <x:tableColumn id="3" name="current v1.3 implementation"/>
    <x:tableColumn id="4" name="mathematical treatment"/>
    <x:tableColumn id="5" name="new curve?"/>
    <x:tableColumn id="6" name="example"/>
    <x:tableColumn id="7" name="confidence"/>
    <x:tableColumn id="8" name="replacement trigger"/>
  </x:tableColumns>
  <x:tableStyleInfo name="TableStyleMedium2" showRowStripes="1"/>
</x:table>
</file>

<file path=xl/tables/table34.xml><?xml version="1.0" encoding="utf-8"?>
<x:table xmlns:x="http://schemas.openxmlformats.org/spreadsheetml/2006/main" id="34" name="HailSelectorConditionerRulesTable" displayName="HailSelectorConditionerRulesTable" ref="A15:H25" headerRowCount="1">
  <x:tableColumns count="8">
    <x:tableColumn id="1" name="metadata_field"/>
    <x:tableColumn id="2" name="type"/>
    <x:tableColumn id="3" name="v1.3 rule"/>
    <x:tableColumn id="4" name="effect on curve"/>
    <x:tableColumn id="5" name="required?"/>
    <x:tableColumn id="6" name="notes"/>
    <x:tableColumn id="7" name="source/rationale"/>
    <x:tableColumn id="8" name="open_seam"/>
  </x:tableColumns>
  <x:tableStyleInfo name="TableStyleMedium2" showRowStripes="1"/>
</x:table>
</file>

<file path=xl/tables/table35.xml><?xml version="1.0" encoding="utf-8"?>
<x:table xmlns:x="http://schemas.openxmlformats.org/spreadsheetml/2006/main" id="35" name="HailVariantCatalogTable" displayName="HailVariantCatalogTable" ref="A4:J10" headerRowCount="1">
  <x:tableColumns count="10">
    <x:tableColumn id="1" name="variant_id"/>
    <x:tableColumn id="2" name="variant_type"/>
    <x:tableColumn id="3" name="curve_native_axis"/>
    <x:tableColumn id="4" name="D50_mm"/>
    <x:tableColumn id="5" name="k_1_per_mm"/>
    <x:tableColumn id="6" name="max_DR"/>
    <x:tableColumn id="7" name="derivation_method"/>
    <x:tableColumn id="8" name="when_to_use"/>
    <x:tableColumn id="9" name="confidence"/>
    <x:tableColumn id="10" name="caveat"/>
  </x:tableColumns>
  <x:tableStyleInfo name="TableStyleMedium2" showRowStripes="1"/>
</x:table>
</file>

<file path=xl/tables/table36.xml><?xml version="1.0" encoding="utf-8"?>
<x:table xmlns:x="http://schemas.openxmlformats.org/spreadsheetml/2006/main" id="36" name="HailVariantExampleTable" displayName="HailVariantExampleTable" ref="A13:G21" headerRowCount="1">
  <x:tableColumns count="7">
    <x:tableColumn id="1" name="D_mm"/>
    <x:tableColumn id="2" name="fragile_DR"/>
    <x:tableColumn id="3" name="default_DR"/>
    <x:tableColumn id="4" name="hardened_DR"/>
    <x:tableColumn id="5" name="default_stowed_DR"/>
    <x:tableColumn id="6" name="default_prob_stow_60pct"/>
    <x:tableColumn id="7" name="notes"/>
  </x:tableColumns>
  <x:tableStyleInfo name="TableStyleMedium2" showRowStripes="1"/>
</x:table>
</file>

<file path=xl/tables/table37.xml><?xml version="1.0" encoding="utf-8"?>
<x:table xmlns:x="http://schemas.openxmlformats.org/spreadsheetml/2006/main" id="37" name="HailAssumptionRegisterTable" displayName="HailAssumptionRegisterTable" ref="A4:H15" headerRowCount="1">
  <x:tableColumns count="8">
    <x:tableColumn id="1" name="assumption_id"/>
    <x:tableColumn id="2" name="assumption"/>
    <x:tableColumn id="3" name="status"/>
    <x:tableColumn id="4" name="used_in"/>
    <x:tableColumn id="5" name="effect_if_changed"/>
    <x:tableColumn id="6" name="confidence"/>
    <x:tableColumn id="7" name="replacement_trigger"/>
    <x:tableColumn id="8"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9619e844bc5418b" /></Relationships>
</file>

<file path=xl/worksheets/_rels/sheet3.xml.rels>&#65279;<?xml version="1.0" encoding="utf-8"?><Relationships xmlns="http://schemas.openxmlformats.org/package/2006/relationships"><Relationship Type="http://schemas.openxmlformats.org/officeDocument/2006/relationships/drawing" Target="/xl/drawings/drawing1.xml" Id="Re0a2ddb3603a4487" /><Relationship Type="http://schemas.openxmlformats.org/officeDocument/2006/relationships/table" Target="/xl/tables/table2.xml" Id="Rfba6d5097b1b4b86" /></Relationships>
</file>

<file path=xl/worksheets/_rels/sheet4.xml.rels>&#65279;<?xml version="1.0" encoding="utf-8"?><Relationships xmlns="http://schemas.openxmlformats.org/package/2006/relationships"><Relationship Type="http://schemas.openxmlformats.org/officeDocument/2006/relationships/table" Target="/xl/tables/table3.xml" Id="R4f17882919ba4da6" /></Relationships>
</file>

<file path=xl/worksheets/_rels/sheet5.xml.rels>&#65279;<?xml version="1.0" encoding="utf-8"?><Relationships xmlns="http://schemas.openxmlformats.org/package/2006/relationships"><Relationship Type="http://schemas.openxmlformats.org/officeDocument/2006/relationships/table" Target="/xl/tables/table4.xml" Id="Rde0dc5b8d45e48eb" /></Relationships>
</file>

<file path=xl/worksheets/_rels/sheet6.xml.rels>&#65279;<?xml version="1.0" encoding="utf-8"?><Relationships xmlns="http://schemas.openxmlformats.org/package/2006/relationships"><Relationship Type="http://schemas.openxmlformats.org/officeDocument/2006/relationships/table" Target="/xl/tables/table5.xml" Id="R0e956d34680843ff" /></Relationships>
</file>

<file path=xl/worksheets/_rels/sheet7.xml.rels>&#65279;<?xml version="1.0" encoding="utf-8"?><Relationships xmlns="http://schemas.openxmlformats.org/package/2006/relationships"><Relationship Type="http://schemas.openxmlformats.org/officeDocument/2006/relationships/table" Target="/xl/tables/table6.xml" Id="R81038ab28e004bb9" /></Relationships>
</file>

<file path=xl/worksheets/_rels/sheet8.xml.rels>&#65279;<?xml version="1.0" encoding="utf-8"?><Relationships xmlns="http://schemas.openxmlformats.org/package/2006/relationships"><Relationship Type="http://schemas.openxmlformats.org/officeDocument/2006/relationships/table" Target="/xl/tables/table7.xml" Id="R00bde6e2e3474ac8" /></Relationships>
</file>

<file path=xl/worksheets/_rels/sheet9.xml.rels>&#65279;<?xml version="1.0" encoding="utf-8"?><Relationships xmlns="http://schemas.openxmlformats.org/package/2006/relationships"><Relationship Type="http://schemas.openxmlformats.org/officeDocument/2006/relationships/table" Target="/xl/tables/table8.xml" Id="Rbef42f6459d744d8" /></Relationships>
</file>

<file path=xl/worksheets/_rels/sheet10.xml.rels>&#65279;<?xml version="1.0" encoding="utf-8"?><Relationships xmlns="http://schemas.openxmlformats.org/package/2006/relationships"><Relationship Type="http://schemas.openxmlformats.org/officeDocument/2006/relationships/table" Target="/xl/tables/table9.xml" Id="R5d7ddd1aa5684c12" /></Relationships>
</file>

<file path=xl/worksheets/_rels/sheet11.xml.rels>&#65279;<?xml version="1.0" encoding="utf-8"?><Relationships xmlns="http://schemas.openxmlformats.org/package/2006/relationships"><Relationship Type="http://schemas.openxmlformats.org/officeDocument/2006/relationships/table" Target="/xl/tables/table10.xml" Id="Rf3591670f8f0425b" /></Relationships>
</file>

<file path=xl/worksheets/_rels/sheet12.xml.rels>&#65279;<?xml version="1.0" encoding="utf-8"?><Relationships xmlns="http://schemas.openxmlformats.org/package/2006/relationships"><Relationship Type="http://schemas.openxmlformats.org/officeDocument/2006/relationships/table" Target="/xl/tables/table11.xml" Id="R5cf70a7f004548de" /></Relationships>
</file>

<file path=xl/worksheets/_rels/sheet13.xml.rels>&#65279;<?xml version="1.0" encoding="utf-8"?><Relationships xmlns="http://schemas.openxmlformats.org/package/2006/relationships"><Relationship Type="http://schemas.openxmlformats.org/officeDocument/2006/relationships/table" Target="/xl/tables/table12.xml" Id="R65362f137a17462d" /></Relationships>
</file>

<file path=xl/worksheets/_rels/sheet14.xml.rels>&#65279;<?xml version="1.0" encoding="utf-8"?><Relationships xmlns="http://schemas.openxmlformats.org/package/2006/relationships"><Relationship Type="http://schemas.openxmlformats.org/officeDocument/2006/relationships/table" Target="/xl/tables/table13.xml" Id="Rd4a87b036da54d4a" /></Relationships>
</file>

<file path=xl/worksheets/_rels/sheet15.xml.rels>&#65279;<?xml version="1.0" encoding="utf-8"?><Relationships xmlns="http://schemas.openxmlformats.org/package/2006/relationships"><Relationship Type="http://schemas.openxmlformats.org/officeDocument/2006/relationships/table" Target="/xl/tables/table14.xml" Id="R7653883fd60a4a4e" /></Relationships>
</file>

<file path=xl/worksheets/_rels/sheet16.xml.rels>&#65279;<?xml version="1.0" encoding="utf-8"?><Relationships xmlns="http://schemas.openxmlformats.org/package/2006/relationships"><Relationship Type="http://schemas.openxmlformats.org/officeDocument/2006/relationships/table" Target="/xl/tables/table15.xml" Id="R0af0f472c96d45b4" /></Relationships>
</file>

<file path=xl/worksheets/_rels/sheet17.xml.rels>&#65279;<?xml version="1.0" encoding="utf-8"?><Relationships xmlns="http://schemas.openxmlformats.org/package/2006/relationships"><Relationship Type="http://schemas.openxmlformats.org/officeDocument/2006/relationships/table" Target="/xl/tables/table16.xml" Id="Ra842a29bbeeb41f3" /></Relationships>
</file>

<file path=xl/worksheets/_rels/sheet20.xml.rels>&#65279;<?xml version="1.0" encoding="utf-8"?><Relationships xmlns="http://schemas.openxmlformats.org/package/2006/relationships"><Relationship Type="http://schemas.openxmlformats.org/officeDocument/2006/relationships/drawing" Target="/xl/drawings/drawing2.xml" Id="R62a7a3d5ead14e7e" /></Relationships>
</file>

<file path=xl/worksheets/_rels/sheet24.xml.rels>&#65279;<?xml version="1.0" encoding="utf-8"?><Relationships xmlns="http://schemas.openxmlformats.org/package/2006/relationships"><Relationship Type="http://schemas.openxmlformats.org/officeDocument/2006/relationships/drawing" Target="/xl/drawings/drawing3.xml" Id="R42aff172289b41a9" /></Relationships>
</file>

<file path=xl/worksheets/_rels/sheet26.xml.rels>&#65279;<?xml version="1.0" encoding="utf-8"?><Relationships xmlns="http://schemas.openxmlformats.org/package/2006/relationships"><Relationship Type="http://schemas.openxmlformats.org/officeDocument/2006/relationships/table" Target="/xl/tables/table17.xml" Id="R6acd9e54e5004ef6" /></Relationships>
</file>

<file path=xl/worksheets/_rels/sheet27.xml.rels>&#65279;<?xml version="1.0" encoding="utf-8"?><Relationships xmlns="http://schemas.openxmlformats.org/package/2006/relationships"><Relationship Type="http://schemas.openxmlformats.org/officeDocument/2006/relationships/table" Target="/xl/tables/table18.xml" Id="R53832e6de26041c2" /></Relationships>
</file>

<file path=xl/worksheets/_rels/sheet28.xml.rels>&#65279;<?xml version="1.0" encoding="utf-8"?><Relationships xmlns="http://schemas.openxmlformats.org/package/2006/relationships"><Relationship Type="http://schemas.openxmlformats.org/officeDocument/2006/relationships/table" Target="/xl/tables/table19.xml" Id="R6f4676393bc649f9" /></Relationships>
</file>

<file path=xl/worksheets/_rels/sheet29.xml.rels>&#65279;<?xml version="1.0" encoding="utf-8"?><Relationships xmlns="http://schemas.openxmlformats.org/package/2006/relationships"><Relationship Type="http://schemas.openxmlformats.org/officeDocument/2006/relationships/table" Target="/xl/tables/table20.xml" Id="Rf928403aebd143f6" /></Relationships>
</file>

<file path=xl/worksheets/_rels/sheet30.xml.rels>&#65279;<?xml version="1.0" encoding="utf-8"?><Relationships xmlns="http://schemas.openxmlformats.org/package/2006/relationships"><Relationship Type="http://schemas.openxmlformats.org/officeDocument/2006/relationships/table" Target="/xl/tables/table21.xml" Id="Re1b669c6c6b94948" /></Relationships>
</file>

<file path=xl/worksheets/_rels/sheet31.xml.rels>&#65279;<?xml version="1.0" encoding="utf-8"?><Relationships xmlns="http://schemas.openxmlformats.org/package/2006/relationships"><Relationship Type="http://schemas.openxmlformats.org/officeDocument/2006/relationships/table" Target="/xl/tables/table22.xml" Id="R5c274be8276b4b54" /></Relationships>
</file>

<file path=xl/worksheets/_rels/sheet32.xml.rels>&#65279;<?xml version="1.0" encoding="utf-8"?><Relationships xmlns="http://schemas.openxmlformats.org/package/2006/relationships"><Relationship Type="http://schemas.openxmlformats.org/officeDocument/2006/relationships/table" Target="/xl/tables/table23.xml" Id="Rc9c5e5614ca748f5" /></Relationships>
</file>

<file path=xl/worksheets/_rels/sheet33.xml.rels>&#65279;<?xml version="1.0" encoding="utf-8"?><Relationships xmlns="http://schemas.openxmlformats.org/package/2006/relationships"><Relationship Type="http://schemas.openxmlformats.org/officeDocument/2006/relationships/drawing" Target="/xl/drawings/drawing4.xml" Id="R42478f7b8c9c4ea6" /></Relationships>
</file>

<file path=xl/worksheets/_rels/sheet34.xml.rels>&#65279;<?xml version="1.0" encoding="utf-8"?><Relationships xmlns="http://schemas.openxmlformats.org/package/2006/relationships"><Relationship Type="http://schemas.openxmlformats.org/officeDocument/2006/relationships/table" Target="/xl/tables/table24.xml" Id="R0ba6c5310f6f4617" /></Relationships>
</file>

<file path=xl/worksheets/_rels/sheet35.xml.rels>&#65279;<?xml version="1.0" encoding="utf-8"?><Relationships xmlns="http://schemas.openxmlformats.org/package/2006/relationships"><Relationship Type="http://schemas.openxmlformats.org/officeDocument/2006/relationships/table" Target="/xl/tables/table25.xml" Id="R83569a2e055d45cf" /></Relationships>
</file>

<file path=xl/worksheets/_rels/sheet36.xml.rels>&#65279;<?xml version="1.0" encoding="utf-8"?><Relationships xmlns="http://schemas.openxmlformats.org/package/2006/relationships"><Relationship Type="http://schemas.openxmlformats.org/officeDocument/2006/relationships/table" Target="/xl/tables/table26.xml" Id="R1340d975c4964627" /></Relationships>
</file>

<file path=xl/worksheets/_rels/sheet37.xml.rels>&#65279;<?xml version="1.0" encoding="utf-8"?><Relationships xmlns="http://schemas.openxmlformats.org/package/2006/relationships"><Relationship Type="http://schemas.openxmlformats.org/officeDocument/2006/relationships/table" Target="/xl/tables/table27.xml" Id="Read123cdda084e02" /></Relationships>
</file>

<file path=xl/worksheets/_rels/sheet38.xml.rels>&#65279;<?xml version="1.0" encoding="utf-8"?><Relationships xmlns="http://schemas.openxmlformats.org/package/2006/relationships"><Relationship Type="http://schemas.openxmlformats.org/officeDocument/2006/relationships/table" Target="/xl/tables/table28.xml" Id="R8786adb257d94c99" /></Relationships>
</file>

<file path=xl/worksheets/_rels/sheet39.xml.rels>&#65279;<?xml version="1.0" encoding="utf-8"?><Relationships xmlns="http://schemas.openxmlformats.org/package/2006/relationships"><Relationship Type="http://schemas.openxmlformats.org/officeDocument/2006/relationships/table" Target="/xl/tables/table29.xml" Id="R41d8b0155ec14ec2" /></Relationships>
</file>

<file path=xl/worksheets/_rels/sheet40.xml.rels>&#65279;<?xml version="1.0" encoding="utf-8"?><Relationships xmlns="http://schemas.openxmlformats.org/package/2006/relationships"><Relationship Type="http://schemas.openxmlformats.org/officeDocument/2006/relationships/table" Target="/xl/tables/table30.xml" Id="Raa39fff7bc354bed" /><Relationship Type="http://schemas.openxmlformats.org/officeDocument/2006/relationships/table" Target="/xl/tables/table31.xml" Id="R008365a508614d56" /><Relationship Type="http://schemas.openxmlformats.org/officeDocument/2006/relationships/table" Target="/xl/tables/table32.xml" Id="R321dfaf252db41a3" /></Relationships>
</file>

<file path=xl/worksheets/_rels/sheet41.xml.rels>&#65279;<?xml version="1.0" encoding="utf-8"?><Relationships xmlns="http://schemas.openxmlformats.org/package/2006/relationships"><Relationship Type="http://schemas.openxmlformats.org/officeDocument/2006/relationships/table" Target="/xl/tables/table33.xml" Id="R692e3695fbac4517" /><Relationship Type="http://schemas.openxmlformats.org/officeDocument/2006/relationships/table" Target="/xl/tables/table34.xml" Id="Rb4911edf912a4b08" /></Relationships>
</file>

<file path=xl/worksheets/_rels/sheet42.xml.rels>&#65279;<?xml version="1.0" encoding="utf-8"?><Relationships xmlns="http://schemas.openxmlformats.org/package/2006/relationships"><Relationship Type="http://schemas.openxmlformats.org/officeDocument/2006/relationships/table" Target="/xl/tables/table35.xml" Id="R9d76b3618fe24ac9" /><Relationship Type="http://schemas.openxmlformats.org/officeDocument/2006/relationships/table" Target="/xl/tables/table36.xml" Id="Ra0ae3a514e594196" /></Relationships>
</file>

<file path=xl/worksheets/_rels/sheet43.xml.rels>&#65279;<?xml version="1.0" encoding="utf-8"?><Relationships xmlns="http://schemas.openxmlformats.org/package/2006/relationships"><Relationship Type="http://schemas.openxmlformats.org/officeDocument/2006/relationships/table" Target="/xl/tables/table37.xml" Id="R97b632ec7a0a4972" /></Relationships>
</file>

<file path=xl/worksheets/sheet1.xml><?xml version="1.0" encoding="utf-8"?>
<x:worksheet xmlns:x="http://schemas.openxmlformats.org/spreadsheetml/2006/main">
  <x:sheetFormatPr defaultRowHeight="15"/>
  <x:cols>
    <x:col min="1" max="1" width="28" hidden="0" customWidth="1"/>
    <x:col min="2" max="2" width="48" hidden="0" customWidth="1"/>
    <x:col min="3" max="3" width="48" hidden="0" customWidth="1"/>
    <x:col min="4" max="4" width="12" hidden="0" customWidth="1"/>
    <x:col min="5" max="5" width="15" hidden="0" customWidth="1"/>
    <x:col min="6" max="6" width="15" hidden="0" customWidth="1"/>
    <x:col min="7" max="7" width="15" hidden="0" customWidth="1"/>
  </x:cols>
  <x:sheetData>
    <x:row r="1" ht="28" customHeight="1">
      <x:c r="A1" s="57" t="str">
        <x:v>Damage-Curve Records Workbook</x:v>
      </x:c>
      <x:c r="B1" s="57"/>
      <x:c r="C1" s="57"/>
      <x:c r="D1" s="57"/>
      <x:c r="E1" s="37"/>
      <x:c r="F1" s="37"/>
      <x:c r="G1" s="37"/>
      <x:c r="H1" s="37"/>
      <x:c r="I1" s="37"/>
      <x:c r="J1" s="37"/>
      <x:c r="K1" s="37"/>
      <x:c r="L1" s="37"/>
      <x:c r="M1" s="37"/>
      <x:c r="N1" s="37"/>
      <x:c r="O1" s="37"/>
      <x:c r="P1" s="37"/>
      <x:c r="Q1" s="37"/>
      <x:c r="R1" s="37"/>
      <x:c r="S1" s="37"/>
      <x:c r="T1" s="37"/>
      <x:c r="U1" s="37"/>
      <x:c r="V1" s="37"/>
      <x:c r="W1" s="37"/>
      <x:c r="X1" s="37"/>
      <x:c r="Y1" s="37"/>
      <x:c r="Z1" s="37"/>
    </x:row>
    <x:row r="2">
      <x:c r="A2" s="55" t="str">
        <x:v>Version</x:v>
      </x:c>
      <x:c r="B2" s="55" t="str">
        <x:v>v0.2 hail-axis update</x:v>
      </x:c>
      <x:c r="C2" s="55" t="str">
        <x:v>Companion guide</x:v>
      </x:c>
      <x:c r="D2" s="55" t="str">
        <x:v>damage_curve_method_guide_v0_2_hail_axis.md</x:v>
      </x:c>
      <x:c r="E2"/>
      <x:c r="F2"/>
      <x:c r="G2"/>
    </x:row>
    <x:row r="3">
      <x:c r="A3" t="str">
        <x:v>Purpose</x:v>
      </x:c>
      <x:c r="B3" t="str">
        <x:v>Structured scaffold for governed damage-curve records: cell-first, failure-unit-record-level, valuation-linked.</x:v>
      </x:c>
      <x:c r="C3"/>
      <x:c r="D3"/>
      <x:c r="E3"/>
      <x:c r="F3"/>
      <x:c r="G3"/>
    </x:row>
    <x:row r="4">
      <x:c r="A4"/>
      <x:c r="B4"/>
      <x:c r="C4"/>
      <x:c r="D4"/>
      <x:c r="E4"/>
      <x:c r="F4"/>
      <x:c r="G4"/>
    </x:row>
    <x:row r="5">
      <x:c r="A5" t="str">
        <x:v>Core operating rule</x:v>
      </x:c>
      <x:c r="B5" t="str">
        <x:v>CELL = workflow unit; FAILURE-UNIT = curve-record unit; SUBSYSTEM/COMPONENT = value/reconciliation unit.</x:v>
      </x:c>
      <x:c r="C5"/>
      <x:c r="D5"/>
      <x:c r="E5"/>
      <x:c r="F5"/>
      <x:c r="G5"/>
    </x:row>
    <x:row r="6">
      <x:c r="A6" t="str">
        <x:v>Formula</x:v>
      </x:c>
      <x:c r="B6" t="str">
        <x:v>loss_cell = Σ DR_u(x_u) × physical_base_$ × value_share_u × at_risk_f_u × exposure_fraction_u</x:v>
      </x:c>
      <x:c r="C6"/>
      <x:c r="D6"/>
      <x:c r="E6"/>
      <x:c r="F6"/>
      <x:c r="G6"/>
    </x:row>
    <x:row r="7">
      <x:c r="A7"/>
      <x:c r="B7"/>
      <x:c r="C7"/>
      <x:c r="D7"/>
      <x:c r="E7"/>
      <x:c r="F7"/>
      <x:c r="G7"/>
    </x:row>
    <x:row r="8">
      <x:c r="A8" s="10" t="str">
        <x:v>KPI</x:v>
      </x:c>
      <x:c r="B8" s="10" t="str">
        <x:v>Formula / Value</x:v>
      </x:c>
      <x:c r="C8" s="10" t="str">
        <x:v>Notes</x:v>
      </x:c>
      <x:c r="D8"/>
      <x:c r="E8"/>
      <x:c r="F8"/>
      <x:c r="G8"/>
    </x:row>
    <x:row r="9">
      <x:c r="A9" t="str">
        <x:v>Candidate cells</x:v>
      </x:c>
      <x:c r="B9" t="n">
        <x:f>COUNTA(Cell_Index!A2:A100)</x:f>
        <x:v>14</x:v>
      </x:c>
      <x:c r="C9" t="str">
        <x:v>From Cell_Index rows</x:v>
      </x:c>
      <x:c r="D9"/>
      <x:c r="E9"/>
      <x:c r="F9"/>
      <x:c r="G9"/>
    </x:row>
    <x:row r="10">
      <x:c r="A10" t="str">
        <x:v>Build-now cells</x:v>
      </x:c>
      <x:c r="B10" t="n">
        <x:f>COUNTIF(Cell_Index!P2:P100,"Build now")</x:f>
        <x:v>3</x:v>
      </x:c>
      <x:c r="C10" t="str">
        <x:v>Recommended action = Build now</x:v>
      </x:c>
      <x:c r="D10"/>
      <x:c r="E10"/>
      <x:c r="F10"/>
      <x:c r="G10"/>
    </x:row>
    <x:row r="11">
      <x:c r="A11" t="str">
        <x:v>High cap-binding risk rows</x:v>
      </x:c>
      <x:c r="B11" t="n">
        <x:f>COUNTIF(Cap_Binding_Preflight!M2:M100,"High")</x:f>
        <x:v>4</x:v>
      </x:c>
      <x:c r="C11" t="str">
        <x:v>From Cap_Binding_Preflight</x:v>
      </x:c>
      <x:c r="D11"/>
      <x:c r="E11"/>
      <x:c r="F11"/>
      <x:c r="G11"/>
    </x:row>
    <x:row r="12">
      <x:c r="A12" t="str">
        <x:v>Curve records scaffolded</x:v>
      </x:c>
      <x:c r="B12" t="n">
        <x:f>COUNTA(Curve_Records!A2:A200)</x:f>
        <x:v>14</x:v>
      </x:c>
      <x:c r="C12" t="str">
        <x:v>From Curve_Records</x:v>
      </x:c>
      <x:c r="D12"/>
      <x:c r="E12"/>
      <x:c r="F12"/>
      <x:c r="G12"/>
    </x:row>
    <x:row r="13">
      <x:c r="A13" t="str">
        <x:v>Tail metrics policy</x:v>
      </x:c>
      <x:c r="B13" t="str">
        <x:v>WITHHOLD until spread/states/distribution exists</x:v>
      </x:c>
      <x:c r="C13" t="str">
        <x:v>This is a structural absence under scalar emit.</x:v>
      </x:c>
      <x:c r="D13"/>
      <x:c r="E13"/>
      <x:c r="F13"/>
      <x:c r="G13"/>
    </x:row>
    <x:row r="14">
      <x:c r="A14"/>
      <x:c r="B14"/>
      <x:c r="C14"/>
      <x:c r="D14"/>
      <x:c r="E14"/>
      <x:c r="F14"/>
      <x:c r="G14"/>
    </x:row>
    <x:row r="15">
      <x:c r="A15" s="10" t="str">
        <x:v>Sheet</x:v>
      </x:c>
      <x:c r="B15" s="10" t="str">
        <x:v>Role</x:v>
      </x:c>
      <x:c r="C15" s="10" t="str">
        <x:v>Notes</x:v>
      </x:c>
      <x:c r="D15"/>
      <x:c r="E15"/>
      <x:c r="F15"/>
      <x:c r="G15"/>
    </x:row>
    <x:row r="16">
      <x:c r="A16" t="str">
        <x:v>README_SHORT</x:v>
      </x:c>
      <x:c r="B16" t="str">
        <x:v>Short orientation</x:v>
      </x:c>
      <x:c r="C16" t="str">
        <x:v>Use the Markdown guide for the reasoning narrative.</x:v>
      </x:c>
      <x:c r="D16"/>
      <x:c r="E16"/>
      <x:c r="F16"/>
      <x:c r="G16"/>
    </x:row>
    <x:row r="17">
      <x:c r="A17" t="str">
        <x:v>Asset_Inputs</x:v>
      </x:c>
      <x:c r="B17" t="str">
        <x:v>Asset-size and physical-base assumptions</x:v>
      </x:c>
      <x:c r="C17" t="str">
        <x:v>Pulled from valuation workbook defaults.</x:v>
      </x:c>
      <x:c r="D17"/>
      <x:c r="E17"/>
      <x:c r="F17"/>
      <x:c r="G17"/>
    </x:row>
    <x:row r="18">
      <x:c r="A18" t="str">
        <x:v>Cell_Index</x:v>
      </x:c>
      <x:c r="B18" t="str">
        <x:v>Cell priority and project-management tracker</x:v>
      </x:c>
      <x:c r="C18" t="str">
        <x:v>Cell = hazard × asset.</x:v>
      </x:c>
      <x:c r="D18"/>
      <x:c r="E18"/>
      <x:c r="F18"/>
      <x:c r="G18"/>
    </x:row>
    <x:row r="19">
      <x:c r="A19" t="str">
        <x:v>Record_Schema</x:v>
      </x:c>
      <x:c r="B19" t="str">
        <x:v>Field dictionary</x:v>
      </x:c>
      <x:c r="C19" t="str">
        <x:v>Includes governed_by fields.</x:v>
      </x:c>
      <x:c r="D19"/>
      <x:c r="E19"/>
      <x:c r="F19"/>
      <x:c r="G19"/>
    </x:row>
    <x:row r="20">
      <x:c r="A20" t="str">
        <x:v>Governed_By_Map</x:v>
      </x:c>
      <x:c r="B20" t="str">
        <x:v>Decision-doc map</x:v>
      </x:c>
      <x:c r="C20" t="str">
        <x:v>Which foundation doc governs which rule.</x:v>
      </x:c>
      <x:c r="D20"/>
      <x:c r="E20"/>
      <x:c r="F20"/>
      <x:c r="G20"/>
    </x:row>
    <x:row r="21">
      <x:c r="A21" t="str">
        <x:v>Curve_Records</x:v>
      </x:c>
      <x:c r="B21" t="str">
        <x:v>Atomic curve-record table</x:v>
      </x:c>
      <x:c r="C21" t="str">
        <x:v>One row per failure-unit curve record.</x:v>
      </x:c>
      <x:c r="D21"/>
      <x:c r="E21"/>
      <x:c r="F21"/>
      <x:c r="G21"/>
    </x:row>
    <x:row r="22">
      <x:c r="A22" t="str">
        <x:v>Value_Link</x:v>
      </x:c>
      <x:c r="B22" t="str">
        <x:v>Damage-to-valuation join</x:v>
      </x:c>
      <x:c r="C22" t="str">
        <x:v>Where value_share, basis, f, and cap_L live.</x:v>
      </x:c>
      <x:c r="D22"/>
      <x:c r="E22"/>
      <x:c r="F22"/>
      <x:c r="G22"/>
    </x:row>
    <x:row r="23">
      <x:c r="A23" t="str">
        <x:v>X_Axis_Map</x:v>
      </x:c>
      <x:c r="B23" t="str">
        <x:v>Hazard intensity variables</x:v>
      </x:c>
      <x:c r="C23" t="str">
        <x:v>Includes chain-node and split/composite notes.</x:v>
      </x:c>
      <x:c r="D23"/>
      <x:c r="E23"/>
      <x:c r="F23"/>
      <x:c r="G23"/>
    </x:row>
    <x:row r="24">
      <x:c r="A24" t="str">
        <x:v>Conditioners_Selectors</x:v>
      </x:c>
      <x:c r="B24" t="str">
        <x:v>Asset states and fixed attributes</x:v>
      </x:c>
      <x:c r="C24" t="str">
        <x:v>Keeps dimensions from exploding too early.</x:v>
      </x:c>
      <x:c r="D24"/>
      <x:c r="E24"/>
      <x:c r="F24"/>
      <x:c r="G24"/>
    </x:row>
    <x:row r="25">
      <x:c r="A25" t="str">
        <x:v>Curve_Params</x:v>
      </x:c>
      <x:c r="B25" t="str">
        <x:v>Parameter placeholders</x:v>
      </x:c>
      <x:c r="C25" t="str">
        <x:v>Filled during sourcing.</x:v>
      </x:c>
      <x:c r="D25"/>
      <x:c r="E25"/>
      <x:c r="F25"/>
      <x:c r="G25"/>
    </x:row>
    <x:row r="26">
      <x:c r="A26" t="str">
        <x:v>Evidence_Log</x:v>
      </x:c>
      <x:c r="B26" t="str">
        <x:v>Source/provenance registry</x:v>
      </x:c>
      <x:c r="C26" t="str">
        <x:v>Parameter-level source IDs.</x:v>
      </x:c>
      <x:c r="D26"/>
      <x:c r="E26"/>
      <x:c r="F26"/>
      <x:c r="G26"/>
    </x:row>
    <x:row r="27">
      <x:c r="A27" t="str">
        <x:v>Cap_Binding_Preflight</x:v>
      </x:c>
      <x:c r="B27" t="str">
        <x:v>Scalar/EAL honesty gate</x:v>
      </x:c>
      <x:c r="C27" t="str">
        <x:v>Do this before declaring a cell golden.</x:v>
      </x:c>
      <x:c r="D27"/>
      <x:c r="E27"/>
      <x:c r="F27"/>
      <x:c r="G27"/>
    </x:row>
    <x:row r="28">
      <x:c r="A28" t="str">
        <x:v>Emit_Metrics</x:v>
      </x:c>
      <x:c r="B28" t="str">
        <x:v>Emit object and metric permissions</x:v>
      </x:c>
      <x:c r="C28" t="str">
        <x:v>Tail withhold policy lives here.</x:v>
      </x:c>
      <x:c r="D28"/>
      <x:c r="E28"/>
      <x:c r="F28"/>
      <x:c r="G28"/>
    </x:row>
    <x:row r="29">
      <x:c r="A29" t="str">
        <x:v>Cell_Assembly</x:v>
      </x:c>
      <x:c r="B29" t="str">
        <x:v>How records sum into a cell</x:v>
      </x:c>
      <x:c r="C29" t="str">
        <x:v>Double-counting guard.</x:v>
      </x:c>
      <x:c r="D29"/>
      <x:c r="E29"/>
      <x:c r="F29"/>
      <x:c r="G29"/>
    </x:row>
    <x:row r="30">
      <x:c r="A30" t="str">
        <x:v>QA_Checks</x:v>
      </x:c>
      <x:c r="B30" t="str">
        <x:v>Reviewer checklist</x:v>
      </x:c>
      <x:c r="C30" t="str">
        <x:v>Schema, value, axis, curve, emit, metric, reconciliation.</x:v>
      </x:c>
      <x:c r="D30"/>
      <x:c r="E30"/>
      <x:c r="F30"/>
      <x:c r="G30"/>
    </x:row>
    <x:row r="31">
      <x:c r="A31" t="str">
        <x:v>Open_Seams_Index</x:v>
      </x:c>
      <x:c r="B31" t="str">
        <x:v>Unresolved issues</x:v>
      </x:c>
      <x:c r="C31" t="str">
        <x:v>Seams are explicit, not hidden.</x:v>
      </x:c>
      <x:c r="D31"/>
      <x:c r="E31"/>
      <x:c r="F31"/>
      <x:c r="G31"/>
    </x:row>
    <x:row r="32">
      <x:c r="A32" t="str">
        <x:v>Sources</x:v>
      </x:c>
      <x:c r="B32" t="str">
        <x:v>Source registry</x:v>
      </x:c>
      <x:c r="C32" t="str">
        <x:v>Local docs and public URLs.</x:v>
      </x:c>
      <x:c r="D32"/>
      <x:c r="E32"/>
      <x:c r="F32"/>
      <x:c r="G32"/>
    </x:row>
    <x:row r="33">
      <x:c r="A33" s="24" t="str">
        <x:v>Axis_Bridges</x:v>
      </x:c>
      <x:c r="B33" s="24" t="str">
        <x:v>Axis bridge registry</x:v>
      </x:c>
      <x:c r="C33" s="24" t="str">
        <x:v>Explicit, versioned transformations such as hail diameter → per-stone impact KE proxy.</x:v>
      </x:c>
      <x:c r="D33" s="24"/>
    </x:row>
    <x:row r="34">
      <x:c r="A34" s="59" t="str">
        <x:v>v0.2 hail-axis decision</x:v>
      </x:c>
      <x:c r="B34" s="24" t="str">
        <x:v>Primary hail x-axis = maximum hail diameter / MESH-equivalent size, mm internal, inches accepted.</x:v>
      </x:c>
      <x:c r="C34" s="24" t="str">
        <x:v>Kinetic energy is a derived bridge, not mandatory provider input.</x:v>
      </x:c>
      <x:c r="D34" s="24"/>
    </x:row>
    <x:row r="35">
      <x:c r="A35" s="59" t="str">
        <x:v>Bridge warning</x:v>
      </x:c>
      <x:c r="B35" s="24" t="str">
        <x:v>Use HAIL_DIAMETER_TO_IMPACT_KE_PROXY when lab/physics anchor requires KE.</x:v>
      </x:c>
      <x:c r="C35" s="24" t="str">
        <x:v>Do not label per-stone J/impact as J/m² unless impact concentration/flux is sourced.</x:v>
      </x:c>
      <x:c r="D35" s="24"/>
    </x:row>
    <x:row r="36">
      <x:c r="A36" s="59" t="str">
        <x:v>New sheet</x:v>
      </x:c>
      <x:c r="B36" s="24" t="str">
        <x:v>Axis_Bridges</x:v>
      </x:c>
      <x:c r="C36" s="24" t="str">
        <x:v>Versioned axis-translation assumptions, including hail diameter → impact KE proxy.</x:v>
      </x:c>
      <x:c r="D36" s="24"/>
    </x:row>
    <x:row r="38">
      <x:c r="A38" s="67" t="str">
        <x:v>v0.3 update</x:v>
      </x:c>
      <x:c r="B38" s="67" t="str">
        <x:v>Added Hail_Solar_Curve_Plot and Hail_Solar_Curve_Data sheets for MESH-diameter plotting views; curves are placeholders until derivation/evidence pass.</x:v>
      </x:c>
      <x:c r="C38" s="67" t="str"/>
      <x:c r="D38" s="67" t="str"/>
    </x:row>
    <x:row r="40">
      <x:c r="A40" s="130" t="str">
        <x:v>v1.1 update</x:v>
      </x:c>
      <x:c r="B40" s="130" t="str">
        <x:v>Added Hail_Site_Inputs, Hail_Conditioning, Hail_Hazard_Frequency, Hail_Site_Loss, Hail_Return_Period_Loss, Hail_EAL_By_Bin, Hail_Sensitivity, Hail_V1_1_Dashboard, Hail_V1_1_QA.</x:v>
      </x:c>
      <x:c r="C40" s="130"/>
      <x:c r="D40" s="130"/>
    </x:row>
    <x:row r="41">
      <x:c r="A41" s="130" t="str">
        <x:v>Important</x:v>
      </x:c>
      <x:c r="B41" s="130" t="str">
        <x:v>The hail frequency curve is illustrative until replaced with a site-specific MESH exceedance curve. EAL is labeled illustrative; tail/PML remain withheld.</x:v>
      </x:c>
      <x:c r="C41" s="130"/>
      <x:c r="D41" s="130"/>
    </x:row>
    <x:row r="43">
      <x:c r="A43" s="169" t="str">
        <x:v>v1.2 consolidation note</x:v>
      </x:c>
    </x:row>
    <x:row r="44">
      <x:c r="A44" s="94" t="str">
        <x:v>v1.2 adds documentation-only sheets that clarify hail × solar as a single-primary failure-unit damage code, not a whole-asset curve; distinguish module archetype (static selector) from stow state/probability (event-time conditioner); and record reviewed secondary/DR≈0 subsystems for exhaustive coverage.</x:v>
      </x:c>
    </x:row>
    <x:row r="46">
      <x:c r="A46" s="198" t="str">
        <x:v>v1.3 update: added formal curve derivation and adjustment audit sheets: Hail_Derivation_Index, Hail_Evidence_Params, Hail_Base_Curve_Fit, Hail_Adjustment_Rules, Hail_Variant_Catalog, Hail_Assumption_Register.</x:v>
      </x:c>
    </x:row>
  </x:sheetData>
  <x:mergeCells>
    <x:mergeCell ref="A43:D43"/>
    <x:mergeCell ref="A44:D49"/>
    <x:mergeCell ref="A46:D46"/>
  </x:mergeCell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12" hidden="0" customWidth="1"/>
    <x:col min="3" max="3" width="18" hidden="0" customWidth="1"/>
    <x:col min="4" max="4" width="18" hidden="0" customWidth="1"/>
    <x:col min="5" max="5" width="14" hidden="0" customWidth="1"/>
    <x:col min="6" max="6" width="18" hidden="0" customWidth="1"/>
    <x:col min="7" max="7" width="22" hidden="0" customWidth="1"/>
    <x:col min="8" max="8" width="20" hidden="0" customWidth="1"/>
    <x:col min="9" max="9" width="18" hidden="0" customWidth="1"/>
    <x:col min="10" max="10" width="18" hidden="0" customWidth="1"/>
    <x:col min="11" max="11" width="28" hidden="0" customWidth="1"/>
    <x:col min="12" max="12" width="55" hidden="0" customWidth="1"/>
  </x:cols>
  <x:sheetData>
    <x:row r="1" ht="30" customHeight="1">
      <x:c r="A1" s="40" t="str">
        <x:v>asset_input_id</x:v>
      </x:c>
      <x:c r="B1" s="40" t="str">
        <x:v>tech</x:v>
      </x:c>
      <x:c r="C1" s="40" t="str">
        <x:v>asset_class</x:v>
      </x:c>
      <x:c r="D1" s="40" t="str">
        <x:v>default_asset_size_mw</x:v>
      </x:c>
      <x:c r="E1" s="40" t="str">
        <x:v>capacity_basis</x:v>
      </x:c>
      <x:c r="F1" s="40" t="str">
        <x:v>installed_capex_usd_per_kw</x:v>
      </x:c>
      <x:c r="G1" s="40" t="str">
        <x:v>physical_replaceable_usd_per_kw</x:v>
      </x:c>
      <x:c r="H1" s="40" t="str">
        <x:v>excluded_sunk_soft_usd_per_kw</x:v>
      </x:c>
      <x:c r="I1" s="40" t="str">
        <x:v>installed_value_usd</x:v>
      </x:c>
      <x:c r="J1" s="40" t="str">
        <x:v>physical_value_usd</x:v>
      </x:c>
      <x:c r="K1" s="40" t="str">
        <x:v>source_artifact</x:v>
      </x:c>
      <x:c r="L1" s="40" t="str">
        <x:v>notes</x:v>
      </x:c>
      <x:c r="M1" s="37"/>
      <x:c r="N1" s="37"/>
      <x:c r="O1" s="37"/>
      <x:c r="P1" s="37"/>
      <x:c r="Q1" s="37"/>
      <x:c r="R1" s="37"/>
      <x:c r="S1" s="37"/>
      <x:c r="T1" s="37"/>
      <x:c r="U1" s="37"/>
      <x:c r="V1" s="37"/>
      <x:c r="W1" s="37"/>
      <x:c r="X1" s="37"/>
      <x:c r="Y1" s="37"/>
      <x:c r="Z1" s="37"/>
    </x:row>
    <x:row r="2" ht="30" customHeight="1">
      <x:c r="A2" s="24" t="str">
        <x:v>ASSET_SOLAR_100MWDC</x:v>
      </x:c>
      <x:c r="B2" s="24" t="str">
        <x:v>solar</x:v>
      </x:c>
      <x:c r="C2" s="24" t="str">
        <x:v>solar_pv</x:v>
      </x:c>
      <x:c r="D2" s="25" t="n">
        <x:v>100</x:v>
      </x:c>
      <x:c r="E2" s="25" t="str">
        <x:v>MWdc</x:v>
      </x:c>
      <x:c r="F2" s="25" t="n">
        <x:v>1120</x:v>
      </x:c>
      <x:c r="G2" s="25" t="n">
        <x:v>877.7957023626668</x:v>
      </x:c>
      <x:c r="H2" s="25" t="n">
        <x:v>242.204297637333</x:v>
      </x:c>
      <x:c r="I2" s="25" t="n">
        <x:f>D2*1000*F2</x:f>
        <x:v>112000000</x:v>
      </x:c>
      <x:c r="J2" s="25" t="n">
        <x:f>D2*1000*G2</x:f>
        <x:v>87779570.23626669</x:v>
      </x:c>
      <x:c r="K2" s="24" t="str">
        <x:v>solar_wind_value_breakdown.xlsx</x:v>
      </x:c>
      <x:c r="L2" s="24" t="str">
        <x:v>Default 100 MWdc utility PV; physical base excludes sunk/soft/nonphysical.</x:v>
      </x:c>
    </x:row>
    <x:row r="3" ht="30" customHeight="1">
      <x:c r="A3" s="24" t="str">
        <x:v>ASSET_WIND_200MW</x:v>
      </x:c>
      <x:c r="B3" s="24" t="str">
        <x:v>wind</x:v>
      </x:c>
      <x:c r="C3" s="24" t="str">
        <x:v>land_based_wind</x:v>
      </x:c>
      <x:c r="D3" s="25" t="n">
        <x:v>200</x:v>
      </x:c>
      <x:c r="E3" s="25" t="str">
        <x:v>MW</x:v>
      </x:c>
      <x:c r="F3" s="25" t="n">
        <x:v>1968</x:v>
      </x:c>
      <x:c r="G3" s="25" t="n">
        <x:v>1623</x:v>
      </x:c>
      <x:c r="H3" s="25" t="n">
        <x:v>345</x:v>
      </x:c>
      <x:c r="I3" s="25" t="n">
        <x:f>D3*1000*F3</x:f>
        <x:v>393600000</x:v>
      </x:c>
      <x:c r="J3" s="25" t="n">
        <x:f>D3*1000*G3</x:f>
        <x:v>324600000</x:v>
      </x:c>
      <x:c r="K3" s="24" t="str">
        <x:v>solar_wind_value_breakdown.xlsx</x:v>
      </x:c>
      <x:c r="L3" s="24" t="str">
        <x:v>Default 200 MW land-based wind; physical base includes major replacement logistics/fieldwork by default.</x:v>
      </x:c>
    </x:row>
  </x:sheetData>
  <x:pageMargins left="0.7" right="0.7" top="0.75" bottom="0.75" header="0.3" footer="0.3"/>
  <x:tableParts count="1">
    <x:tablePart xmlns:r="http://schemas.openxmlformats.org/officeDocument/2006/relationships" r:id="R49619e844bc5418b"/>
  </x:tableParts>
</x:worksheet>
</file>

<file path=xl/worksheets/sheet3.xml><?xml version="1.0" encoding="utf-8"?>
<x:worksheet xmlns:x="http://schemas.openxmlformats.org/spreadsheetml/2006/main">
  <x:sheetFormatPr defaultRowHeight="15"/>
  <x:cols>
    <x:col min="1" max="1" width="24" hidden="0" customWidth="1"/>
    <x:col min="2" max="2" width="18" hidden="0" customWidth="1"/>
    <x:col min="3" max="3" width="20" hidden="0" customWidth="1"/>
    <x:col min="4" max="4" width="28" hidden="0" customWidth="1"/>
    <x:col min="5" max="5" width="44" hidden="0" customWidth="1"/>
    <x:col min="6" max="6" width="12" hidden="0" customWidth="1"/>
    <x:col min="7" max="7" width="14" hidden="0" customWidth="1"/>
    <x:col min="8" max="8" width="12" hidden="0" customWidth="1"/>
    <x:col min="9" max="9" width="12" hidden="0" customWidth="1"/>
    <x:col min="10" max="10" width="16" hidden="0" customWidth="1"/>
    <x:col min="11" max="11" width="18" hidden="0" customWidth="1"/>
    <x:col min="12" max="12" width="18" hidden="0" customWidth="1"/>
    <x:col min="13" max="13" width="16" hidden="0" customWidth="1"/>
    <x:col min="14" max="14" width="14" hidden="0" customWidth="1"/>
    <x:col min="15" max="15" width="18" hidden="0" customWidth="1"/>
    <x:col min="16" max="16" width="18" hidden="0" customWidth="1"/>
    <x:col min="17" max="17" width="60" hidden="0" customWidth="1"/>
  </x:cols>
  <x:sheetData>
    <x:row r="1" ht="30" customHeight="1">
      <x:c r="A1" s="46" t="str">
        <x:v>cell_id</x:v>
      </x:c>
      <x:c r="B1" s="46" t="str">
        <x:v>hazard</x:v>
      </x:c>
      <x:c r="C1" s="46" t="str">
        <x:v>asset_class</x:v>
      </x:c>
      <x:c r="D1" s="46" t="str">
        <x:v>cell_label</x:v>
      </x:c>
      <x:c r="E1" s="46" t="str">
        <x:v>archetype_role</x:v>
      </x:c>
      <x:c r="F1" s="46" t="str">
        <x:v>build_phase</x:v>
      </x:c>
      <x:c r="G1" s="46" t="str">
        <x:v>status</x:v>
      </x:c>
      <x:c r="H1" s="46" t="str">
        <x:v>materiality_score</x:v>
      </x:c>
      <x:c r="I1" s="46" t="str">
        <x:v>evidence_score</x:v>
      </x:c>
      <x:c r="J1" s="46" t="str">
        <x:v>method_coverage_score</x:v>
      </x:c>
      <x:c r="K1" s="46" t="str">
        <x:v>valuation_readiness_score</x:v>
      </x:c>
      <x:c r="L1" s="46" t="str">
        <x:v>implementation_complexity</x:v>
      </x:c>
      <x:c r="M1" s="46" t="str">
        <x:v>blocker_penalty</x:v>
      </x:c>
      <x:c r="N1" s="46" t="str">
        <x:v>priority_score</x:v>
      </x:c>
      <x:c r="O1" s="46" t="str">
        <x:v>cap_binding_risk</x:v>
      </x:c>
      <x:c r="P1" s="46" t="str">
        <x:v>recommended_action</x:v>
      </x:c>
      <x:c r="Q1" s="46" t="str">
        <x:v>notes</x:v>
      </x:c>
      <x:c r="R1" s="37"/>
      <x:c r="S1" s="37"/>
      <x:c r="T1" s="37"/>
      <x:c r="U1" s="37"/>
      <x:c r="V1" s="37"/>
      <x:c r="W1" s="37"/>
      <x:c r="X1" s="37"/>
      <x:c r="Y1" s="37"/>
      <x:c r="Z1" s="37"/>
    </x:row>
    <x:row r="2" ht="30" customHeight="1">
      <x:c r="A2" s="24" t="str">
        <x:v>HAIL_SOLAR</x:v>
      </x:c>
      <x:c r="B2" s="24" t="str">
        <x:v>hail</x:v>
      </x:c>
      <x:c r="C2" s="24" t="str">
        <x:v>solar_pv</x:v>
      </x:c>
      <x:c r="D2" s="24" t="str">
        <x:v>Hail × solar</x:v>
      </x:c>
      <x:c r="E2" s="24" t="str">
        <x:v>Proving cell: concentrated f + cap sensitivity</x:v>
      </x:c>
      <x:c r="F2" s="24" t="str">
        <x:v>Sprint 1</x:v>
      </x:c>
      <x:c r="G2" s="24" t="str">
        <x:v>v1.1 site-adaptable</x:v>
      </x:c>
      <x:c r="H2" s="24" t="n">
        <x:v>5</x:v>
      </x:c>
      <x:c r="I2" s="24" t="n">
        <x:v>3</x:v>
      </x:c>
      <x:c r="J2" s="24" t="n">
        <x:v>5</x:v>
      </x:c>
      <x:c r="K2" s="24" t="n">
        <x:v>5</x:v>
      </x:c>
      <x:c r="L2" s="24" t="n">
        <x:v>3</x:v>
      </x:c>
      <x:c r="M2" s="24" t="n">
        <x:v>1</x:v>
      </x:c>
      <x:c r="N2" s="24" t="n">
        <x:v>14</x:v>
      </x:c>
      <x:c r="O2" s="24" t="str">
        <x:v>Medium/High</x:v>
      </x:c>
      <x:c r="P2" s="24" t="str">
        <x:v>Use site adapter; replace AEP before final EAL</x:v>
      </x:c>
      <x:c r="Q2" s="24" t="str">
        <x:v>v1.0 severity curve complete; v1.1 site conditioning/risk interface added.</x:v>
      </x:c>
    </x:row>
    <x:row r="3" ht="30" customHeight="1">
      <x:c r="A3" s="24" t="str">
        <x:v>FLOOD_SOLAR</x:v>
      </x:c>
      <x:c r="B3" s="24" t="str">
        <x:v>flood</x:v>
      </x:c>
      <x:c r="C3" s="24" t="str">
        <x:v>solar_pv</x:v>
      </x:c>
      <x:c r="D3" s="24" t="str">
        <x:v>Flood × solar</x:v>
      </x:c>
      <x:c r="E3" s="24" t="str">
        <x:v>Geometry cell: elevation f + split axes</x:v>
      </x:c>
      <x:c r="F3" s="24" t="str">
        <x:v>Sprint 2</x:v>
      </x:c>
      <x:c r="G3" s="24" t="str">
        <x:v>Scaffold</x:v>
      </x:c>
      <x:c r="H3" s="24" t="n">
        <x:v>5</x:v>
      </x:c>
      <x:c r="I3" s="24" t="n">
        <x:v>3</x:v>
      </x:c>
      <x:c r="J3" s="24" t="n">
        <x:v>5</x:v>
      </x:c>
      <x:c r="K3" s="24" t="n">
        <x:v>4</x:v>
      </x:c>
      <x:c r="L3" s="24" t="n">
        <x:v>4</x:v>
      </x:c>
      <x:c r="M3" s="24" t="n">
        <x:v>1</x:v>
      </x:c>
      <x:c r="N3" s="24" t="n">
        <x:v>12</x:v>
      </x:c>
      <x:c r="O3" s="24" t="str">
        <x:v>Medium</x:v>
      </x:c>
      <x:c r="P3" s="24" t="str">
        <x:v>Build now</x:v>
      </x:c>
      <x:c r="Q3" s="24" t="str">
        <x:v>Depth/velocity split; site geometry drives exposed fraction.</x:v>
      </x:c>
    </x:row>
    <x:row r="4" ht="30" customHeight="1">
      <x:c r="A4" s="24" t="str">
        <x:v>WIND_TORNADO_WIND</x:v>
      </x:c>
      <x:c r="B4" s="24" t="str">
        <x:v>strong_wind_tornado</x:v>
      </x:c>
      <x:c r="C4" s="24" t="str">
        <x:v>land_based_wind</x:v>
      </x:c>
      <x:c r="D4" s="24" t="str">
        <x:v>Strong wind / tornado × wind</x:v>
      </x:c>
      <x:c r="E4" s="24" t="str">
        <x:v>Structural cell: repeated turbines</x:v>
      </x:c>
      <x:c r="F4" s="24" t="str">
        <x:v>Sprint 3</x:v>
      </x:c>
      <x:c r="G4" s="24" t="str">
        <x:v>Scaffold</x:v>
      </x:c>
      <x:c r="H4" s="24" t="n">
        <x:v>5</x:v>
      </x:c>
      <x:c r="I4" s="24" t="n">
        <x:v>2</x:v>
      </x:c>
      <x:c r="J4" s="24" t="n">
        <x:v>5</x:v>
      </x:c>
      <x:c r="K4" s="24" t="n">
        <x:v>5</x:v>
      </x:c>
      <x:c r="L4" s="24" t="n">
        <x:v>4</x:v>
      </x:c>
      <x:c r="M4" s="24" t="n">
        <x:v>1</x:v>
      </x:c>
      <x:c r="N4" s="24" t="n">
        <x:v>12</x:v>
      </x:c>
      <x:c r="O4" s="24" t="str">
        <x:v>Medium/High</x:v>
      </x:c>
      <x:c r="P4" s="24" t="str">
        <x:v>Build now</x:v>
      </x:c>
      <x:c r="Q4" s="24" t="str">
        <x:v>Tests blade/tower/nacelle caps and partial-farm exposure.</x:v>
      </x:c>
    </x:row>
    <x:row r="5" ht="30" customHeight="1">
      <x:c r="A5" s="24" t="str">
        <x:v>WILDFIRE_SOLAR</x:v>
      </x:c>
      <x:c r="B5" s="24" t="str">
        <x:v>wildfire</x:v>
      </x:c>
      <x:c r="C5" s="24" t="str">
        <x:v>solar_pv</x:v>
      </x:c>
      <x:c r="D5" s="24" t="str">
        <x:v>Wildfire × solar</x:v>
      </x:c>
      <x:c r="E5" s="24" t="str">
        <x:v>Deferred-complexity cell: residence time seam</x:v>
      </x:c>
      <x:c r="F5" s="24" t="str">
        <x:v>Sprint 4</x:v>
      </x:c>
      <x:c r="G5" s="24" t="str">
        <x:v>Scaffold</x:v>
      </x:c>
      <x:c r="H5" s="24" t="n">
        <x:v>4</x:v>
      </x:c>
      <x:c r="I5" s="24" t="n">
        <x:v>2</x:v>
      </x:c>
      <x:c r="J5" s="24" t="n">
        <x:v>5</x:v>
      </x:c>
      <x:c r="K5" s="24" t="n">
        <x:v>4</x:v>
      </x:c>
      <x:c r="L5" s="24" t="n">
        <x:v>4</x:v>
      </x:c>
      <x:c r="M5" s="24" t="n">
        <x:v>2</x:v>
      </x:c>
      <x:c r="N5" s="24" t="n">
        <x:v>9</x:v>
      </x:c>
      <x:c r="O5" s="24" t="str">
        <x:v>Unknown</x:v>
      </x:c>
      <x:c r="P5" s="24" t="str">
        <x:v>Build now</x:v>
      </x:c>
      <x:c r="Q5" s="24" t="str">
        <x:v>Fireline intensity v1 with residence time as open seam.</x:v>
      </x:c>
    </x:row>
    <x:row r="6" ht="30" customHeight="1">
      <x:c r="A6" s="24" t="str">
        <x:v>HAIL_WIND</x:v>
      </x:c>
      <x:c r="B6" s="24" t="str">
        <x:v>hail</x:v>
      </x:c>
      <x:c r="C6" s="24" t="str">
        <x:v>land_based_wind</x:v>
      </x:c>
      <x:c r="D6" s="24" t="str">
        <x:v>Hail × wind</x:v>
      </x:c>
      <x:c r="E6" s="24" t="str">
        <x:v>Batch expansion</x:v>
      </x:c>
      <x:c r="F6" s="24" t="str">
        <x:v>Sprint 5+</x:v>
      </x:c>
      <x:c r="G6" s="24" t="str">
        <x:v>Parked</x:v>
      </x:c>
      <x:c r="H6" s="24" t="n">
        <x:v>2</x:v>
      </x:c>
      <x:c r="I6" s="24" t="n">
        <x:v>2</x:v>
      </x:c>
      <x:c r="J6" s="24" t="n">
        <x:v>2</x:v>
      </x:c>
      <x:c r="K6" s="24" t="n">
        <x:v>4</x:v>
      </x:c>
      <x:c r="L6" s="24" t="n">
        <x:v>3</x:v>
      </x:c>
      <x:c r="M6" s="24" t="n">
        <x:v>1</x:v>
      </x:c>
      <x:c r="N6" s="24" t="n">
        <x:v>6</x:v>
      </x:c>
      <x:c r="O6" s="24" t="str">
        <x:v>Low/Medium</x:v>
      </x:c>
      <x:c r="P6" s="24" t="str">
        <x:v>Build later</x:v>
      </x:c>
      <x:c r="Q6" s="24" t="str">
        <x:v>May affect blades/nacelle surfaces; likely lower first-order materiality than solar hail.</x:v>
      </x:c>
    </x:row>
    <x:row r="7" ht="30" customHeight="1">
      <x:c r="A7" s="24" t="str">
        <x:v>WIND_SOLAR</x:v>
      </x:c>
      <x:c r="B7" s="24" t="str">
        <x:v>strong_wind</x:v>
      </x:c>
      <x:c r="C7" s="24" t="str">
        <x:v>solar_pv</x:v>
      </x:c>
      <x:c r="D7" s="24" t="str">
        <x:v>Strong wind × solar</x:v>
      </x:c>
      <x:c r="E7" s="24" t="str">
        <x:v>Batch expansion</x:v>
      </x:c>
      <x:c r="F7" s="24" t="str">
        <x:v>Sprint 5+</x:v>
      </x:c>
      <x:c r="G7" s="24" t="str">
        <x:v>Parked</x:v>
      </x:c>
      <x:c r="H7" s="24" t="n">
        <x:v>4</x:v>
      </x:c>
      <x:c r="I7" s="24" t="n">
        <x:v>3</x:v>
      </x:c>
      <x:c r="J7" s="24" t="n">
        <x:v>3</x:v>
      </x:c>
      <x:c r="K7" s="24" t="n">
        <x:v>5</x:v>
      </x:c>
      <x:c r="L7" s="24" t="n">
        <x:v>3</x:v>
      </x:c>
      <x:c r="M7" s="24" t="n">
        <x:v>1</x:v>
      </x:c>
      <x:c r="N7" s="24" t="n">
        <x:v>11</x:v>
      </x:c>
      <x:c r="O7" s="24" t="str">
        <x:v>Medium</x:v>
      </x:c>
      <x:c r="P7" s="24" t="str">
        <x:v>Build later</x:v>
      </x:c>
      <x:c r="Q7" s="24" t="str">
        <x:v>Tracker stow/uplift, mounting/foundation; shares some conditioner logic with hail.</x:v>
      </x:c>
    </x:row>
    <x:row r="8" ht="30" customHeight="1">
      <x:c r="A8" s="24" t="str">
        <x:v>LIGHTNING_SOLAR</x:v>
      </x:c>
      <x:c r="B8" s="24" t="str">
        <x:v>lightning</x:v>
      </x:c>
      <x:c r="C8" s="24" t="str">
        <x:v>solar_pv</x:v>
      </x:c>
      <x:c r="D8" s="24" t="str">
        <x:v>Lightning × solar</x:v>
      </x:c>
      <x:c r="E8" s="24" t="str">
        <x:v>Batch expansion</x:v>
      </x:c>
      <x:c r="F8" s="24" t="str">
        <x:v>Sprint 5+</x:v>
      </x:c>
      <x:c r="G8" s="24" t="str">
        <x:v>Parked</x:v>
      </x:c>
      <x:c r="H8" s="24" t="n">
        <x:v>3</x:v>
      </x:c>
      <x:c r="I8" s="24" t="n">
        <x:v>2</x:v>
      </x:c>
      <x:c r="J8" s="24" t="n">
        <x:v>3</x:v>
      </x:c>
      <x:c r="K8" s="24" t="n">
        <x:v>4</x:v>
      </x:c>
      <x:c r="L8" s="24" t="n">
        <x:v>3</x:v>
      </x:c>
      <x:c r="M8" s="24" t="n">
        <x:v>1</x:v>
      </x:c>
      <x:c r="N8" s="24" t="n">
        <x:v>8</x:v>
      </x:c>
      <x:c r="O8" s="24" t="str">
        <x:v>Medium</x:v>
      </x:c>
      <x:c r="P8" s="24" t="str">
        <x:v>Build later</x:v>
      </x:c>
      <x:c r="Q8" s="24" t="str">
        <x:v>Uses grounding/lightning and surge protection records.</x:v>
      </x:c>
    </x:row>
    <x:row r="9" ht="30" customHeight="1">
      <x:c r="A9" s="24" t="str">
        <x:v>LIGHTNING_WIND</x:v>
      </x:c>
      <x:c r="B9" s="24" t="str">
        <x:v>lightning</x:v>
      </x:c>
      <x:c r="C9" s="24" t="str">
        <x:v>land_based_wind</x:v>
      </x:c>
      <x:c r="D9" s="24" t="str">
        <x:v>Lightning × wind</x:v>
      </x:c>
      <x:c r="E9" s="24" t="str">
        <x:v>Batch expansion</x:v>
      </x:c>
      <x:c r="F9" s="24" t="str">
        <x:v>Sprint 5+</x:v>
      </x:c>
      <x:c r="G9" s="24" t="str">
        <x:v>Parked</x:v>
      </x:c>
      <x:c r="H9" s="24" t="n">
        <x:v>4</x:v>
      </x:c>
      <x:c r="I9" s="24" t="n">
        <x:v>2</x:v>
      </x:c>
      <x:c r="J9" s="24" t="n">
        <x:v>3</x:v>
      </x:c>
      <x:c r="K9" s="24" t="n">
        <x:v>4</x:v>
      </x:c>
      <x:c r="L9" s="24" t="n">
        <x:v>3</x:v>
      </x:c>
      <x:c r="M9" s="24" t="n">
        <x:v>1</x:v>
      </x:c>
      <x:c r="N9" s="24" t="n">
        <x:v>9</x:v>
      </x:c>
      <x:c r="O9" s="24" t="str">
        <x:v>Medium</x:v>
      </x:c>
      <x:c r="P9" s="24" t="str">
        <x:v>Build later</x:v>
      </x:c>
      <x:c r="Q9" s="24" t="str">
        <x:v>Rotor/nacelle/electrical protection and downtime implications.</x:v>
      </x:c>
    </x:row>
    <x:row r="10" ht="30" customHeight="1">
      <x:c r="A10" s="24" t="str">
        <x:v>SNOW_ICE_SOLAR</x:v>
      </x:c>
      <x:c r="B10" s="24" t="str">
        <x:v>snow_ice</x:v>
      </x:c>
      <x:c r="C10" s="24" t="str">
        <x:v>solar_pv</x:v>
      </x:c>
      <x:c r="D10" s="24" t="str">
        <x:v>Snow / ice × solar</x:v>
      </x:c>
      <x:c r="E10" s="24" t="str">
        <x:v>Batch expansion</x:v>
      </x:c>
      <x:c r="F10" s="24" t="str">
        <x:v>Sprint 5+</x:v>
      </x:c>
      <x:c r="G10" s="24" t="str">
        <x:v>Parked</x:v>
      </x:c>
      <x:c r="H10" s="24" t="n">
        <x:v>3</x:v>
      </x:c>
      <x:c r="I10" s="24" t="n">
        <x:v>2</x:v>
      </x:c>
      <x:c r="J10" s="24" t="n">
        <x:v>3</x:v>
      </x:c>
      <x:c r="K10" s="24" t="n">
        <x:v>4</x:v>
      </x:c>
      <x:c r="L10" s="24" t="n">
        <x:v>3</x:v>
      </x:c>
      <x:c r="M10" s="24" t="n">
        <x:v>1</x:v>
      </x:c>
      <x:c r="N10" s="24" t="n">
        <x:v>8</x:v>
      </x:c>
      <x:c r="O10" s="24" t="str">
        <x:v>Medium</x:v>
      </x:c>
      <x:c r="P10" s="24" t="str">
        <x:v>Build later</x:v>
      </x:c>
      <x:c r="Q10" s="24" t="str">
        <x:v>Load + coverage; may require combined load logic.</x:v>
      </x:c>
    </x:row>
    <x:row r="11" ht="30" customHeight="1">
      <x:c r="A11" s="24" t="str">
        <x:v>SNOW_ICE_WIND</x:v>
      </x:c>
      <x:c r="B11" s="24" t="str">
        <x:v>snow_ice</x:v>
      </x:c>
      <x:c r="C11" s="24" t="str">
        <x:v>land_based_wind</x:v>
      </x:c>
      <x:c r="D11" s="24" t="str">
        <x:v>Snow / ice × wind</x:v>
      </x:c>
      <x:c r="E11" s="24" t="str">
        <x:v>Batch expansion</x:v>
      </x:c>
      <x:c r="F11" s="24" t="str">
        <x:v>Sprint 5+</x:v>
      </x:c>
      <x:c r="G11" s="24" t="str">
        <x:v>Parked</x:v>
      </x:c>
      <x:c r="H11" s="24" t="n">
        <x:v>3</x:v>
      </x:c>
      <x:c r="I11" s="24" t="n">
        <x:v>2</x:v>
      </x:c>
      <x:c r="J11" s="24" t="n">
        <x:v>4</x:v>
      </x:c>
      <x:c r="K11" s="24" t="n">
        <x:v>4</x:v>
      </x:c>
      <x:c r="L11" s="24" t="n">
        <x:v>4</x:v>
      </x:c>
      <x:c r="M11" s="24" t="n">
        <x:v>1</x:v>
      </x:c>
      <x:c r="N11" s="24" t="n">
        <x:v>8</x:v>
      </x:c>
      <x:c r="O11" s="24" t="str">
        <x:v>Medium</x:v>
      </x:c>
      <x:c r="P11" s="24" t="str">
        <x:v>Build later</x:v>
      </x:c>
      <x:c r="Q11" s="24" t="str">
        <x:v>Ice accretion + wind may become composite-load case.</x:v>
      </x:c>
    </x:row>
    <x:row r="12" ht="30" customHeight="1">
      <x:c r="A12" s="24" t="str">
        <x:v>HURRICANE_WIND_SOLAR</x:v>
      </x:c>
      <x:c r="B12" s="24" t="str">
        <x:v>hurricane_wind</x:v>
      </x:c>
      <x:c r="C12" s="24" t="str">
        <x:v>solar_pv</x:v>
      </x:c>
      <x:c r="D12" s="24" t="str">
        <x:v>Hurricane wind × solar</x:v>
      </x:c>
      <x:c r="E12" s="24" t="str">
        <x:v>Batch expansion</x:v>
      </x:c>
      <x:c r="F12" s="24" t="str">
        <x:v>Sprint 5+</x:v>
      </x:c>
      <x:c r="G12" s="24" t="str">
        <x:v>Parked</x:v>
      </x:c>
      <x:c r="H12" s="24" t="n">
        <x:v>4</x:v>
      </x:c>
      <x:c r="I12" s="24" t="n">
        <x:v>3</x:v>
      </x:c>
      <x:c r="J12" s="24" t="n">
        <x:v>3</x:v>
      </x:c>
      <x:c r="K12" s="24" t="n">
        <x:v>5</x:v>
      </x:c>
      <x:c r="L12" s="24" t="n">
        <x:v>3</x:v>
      </x:c>
      <x:c r="M12" s="24" t="n">
        <x:v>1</x:v>
      </x:c>
      <x:c r="N12" s="24" t="n">
        <x:v>11</x:v>
      </x:c>
      <x:c r="O12" s="24" t="str">
        <x:v>Medium</x:v>
      </x:c>
      <x:c r="P12" s="24" t="str">
        <x:v>Build later</x:v>
      </x:c>
      <x:c r="Q12" s="24" t="str">
        <x:v>May reuse strong-wind solar logic.</x:v>
      </x:c>
    </x:row>
    <x:row r="13" ht="30" customHeight="1">
      <x:c r="A13" s="24" t="str">
        <x:v>HURRICANE_WIND_WIND</x:v>
      </x:c>
      <x:c r="B13" s="24" t="str">
        <x:v>hurricane_wind</x:v>
      </x:c>
      <x:c r="C13" s="24" t="str">
        <x:v>land_based_wind</x:v>
      </x:c>
      <x:c r="D13" s="24" t="str">
        <x:v>Hurricane wind × wind</x:v>
      </x:c>
      <x:c r="E13" s="24" t="str">
        <x:v>Batch expansion</x:v>
      </x:c>
      <x:c r="F13" s="24" t="str">
        <x:v>Sprint 5+</x:v>
      </x:c>
      <x:c r="G13" s="24" t="str">
        <x:v>Parked</x:v>
      </x:c>
      <x:c r="H13" s="24" t="n">
        <x:v>4</x:v>
      </x:c>
      <x:c r="I13" s="24" t="n">
        <x:v>3</x:v>
      </x:c>
      <x:c r="J13" s="24" t="n">
        <x:v>3</x:v>
      </x:c>
      <x:c r="K13" s="24" t="n">
        <x:v>5</x:v>
      </x:c>
      <x:c r="L13" s="24" t="n">
        <x:v>3</x:v>
      </x:c>
      <x:c r="M13" s="24" t="n">
        <x:v>1</x:v>
      </x:c>
      <x:c r="N13" s="24" t="n">
        <x:v>11</x:v>
      </x:c>
      <x:c r="O13" s="24" t="str">
        <x:v>Medium</x:v>
      </x:c>
      <x:c r="P13" s="24" t="str">
        <x:v>Build later</x:v>
      </x:c>
      <x:c r="Q13" s="24" t="str">
        <x:v>May reuse wind/tornado logic with different wind-field/source treatment.</x:v>
      </x:c>
    </x:row>
    <x:row r="14" ht="30" customHeight="1">
      <x:c r="A14" s="24" t="str">
        <x:v>HURRICANE_FLOOD_SOLAR</x:v>
      </x:c>
      <x:c r="B14" s="24" t="str">
        <x:v>hurricane_flood_surge</x:v>
      </x:c>
      <x:c r="C14" s="24" t="str">
        <x:v>solar_pv</x:v>
      </x:c>
      <x:c r="D14" s="24" t="str">
        <x:v>Hurricane flood/surge × solar</x:v>
      </x:c>
      <x:c r="E14" s="24" t="str">
        <x:v>Batch expansion</x:v>
      </x:c>
      <x:c r="F14" s="24" t="str">
        <x:v>Sprint 5+</x:v>
      </x:c>
      <x:c r="G14" s="24" t="str">
        <x:v>Parked</x:v>
      </x:c>
      <x:c r="H14" s="24" t="n">
        <x:v>4</x:v>
      </x:c>
      <x:c r="I14" s="24" t="n">
        <x:v>3</x:v>
      </x:c>
      <x:c r="J14" s="24" t="n">
        <x:v>3</x:v>
      </x:c>
      <x:c r="K14" s="24" t="n">
        <x:v>4</x:v>
      </x:c>
      <x:c r="L14" s="24" t="n">
        <x:v>4</x:v>
      </x:c>
      <x:c r="M14" s="24" t="n">
        <x:v>1</x:v>
      </x:c>
      <x:c r="N14" s="24" t="n">
        <x:v>9</x:v>
      </x:c>
      <x:c r="O14" s="24" t="str">
        <x:v>Medium</x:v>
      </x:c>
      <x:c r="P14" s="24" t="str">
        <x:v>Build later</x:v>
      </x:c>
      <x:c r="Q14" s="24" t="str">
        <x:v>Reuses flood solar with coastal surge/debris nuances.</x:v>
      </x:c>
    </x:row>
    <x:row r="15" ht="30" customHeight="1">
      <x:c r="A15" s="24" t="str">
        <x:v>HURRICANE_FLOOD_WIND</x:v>
      </x:c>
      <x:c r="B15" s="24" t="str">
        <x:v>hurricane_flood_surge</x:v>
      </x:c>
      <x:c r="C15" s="24" t="str">
        <x:v>land_based_wind</x:v>
      </x:c>
      <x:c r="D15" s="24" t="str">
        <x:v>Hurricane flood/surge × wind</x:v>
      </x:c>
      <x:c r="E15" s="24" t="str">
        <x:v>Batch expansion</x:v>
      </x:c>
      <x:c r="F15" s="24" t="str">
        <x:v>Sprint 5+</x:v>
      </x:c>
      <x:c r="G15" s="24" t="str">
        <x:v>Parked</x:v>
      </x:c>
      <x:c r="H15" s="24" t="n">
        <x:v>3</x:v>
      </x:c>
      <x:c r="I15" s="24" t="n">
        <x:v>2</x:v>
      </x:c>
      <x:c r="J15" s="24" t="n">
        <x:v>3</x:v>
      </x:c>
      <x:c r="K15" s="24" t="n">
        <x:v>4</x:v>
      </x:c>
      <x:c r="L15" s="24" t="n">
        <x:v>4</x:v>
      </x:c>
      <x:c r="M15" s="24" t="n">
        <x:v>1</x:v>
      </x:c>
      <x:c r="N15" s="24" t="n">
        <x:v>7</x:v>
      </x:c>
      <x:c r="O15" s="24" t="str">
        <x:v>Medium</x:v>
      </x:c>
      <x:c r="P15" s="24" t="str">
        <x:v>Build later</x:v>
      </x:c>
      <x:c r="Q15" s="24" t="str">
        <x:v>BOS/electrical/foundation and access exposure.</x:v>
      </x:c>
    </x:row>
  </x:sheetData>
  <x:conditionalFormatting sqref="N2:N15">
    <x:cfRule type="dataBar" priority="1">
      <x:dataBar>
        <x:cfvo type="min"/>
        <x:cfvo type="max"/>
        <x:color rgb="FF5B9BD5"/>
      </x:dataBar>
      <x:extLst>
        <x:ext xmlns:x14="http://schemas.microsoft.com/office/spreadsheetml/2009/9/main" uri="{B025F937-C7B1-47D3-B67F-A62EFF666E3E}">
          <x14:id>{DDF06FEA-A3E8-4DD5-B6C1-4D8A9662833F}</x14:id>
        </x:ext>
      </x:extLst>
    </x:cfRule>
  </x:conditionalFormatting>
  <x:dataValidations count="3">
    <x:dataValidation type="list" sqref="G2:G15">
      <x:formula1>Lists!$A$2:$A$8</x:formula1>
    </x:dataValidation>
    <x:dataValidation type="list" sqref="O2:O15">
      <x:formula1>Lists!$B$2:$B$7</x:formula1>
    </x:dataValidation>
    <x:dataValidation type="list" sqref="P2:P15">
      <x:formula1>Lists!$C$2:$C$5</x:formula1>
    </x:dataValidation>
  </x:dataValidations>
  <x:pageMargins left="0.7" right="0.7" top="0.75" bottom="0.75" header="0.3" footer="0.3"/>
  <x:drawing xmlns:r="http://schemas.openxmlformats.org/officeDocument/2006/relationships" r:id="Re0a2ddb3603a4487"/>
  <x:tableParts count="1">
    <x:tablePart xmlns:r="http://schemas.openxmlformats.org/officeDocument/2006/relationships" r:id="Rfba6d5097b1b4b86"/>
  </x:tableParts>
  <x:extLst>
    <x:ext xmlns:x14="http://schemas.microsoft.com/office/spreadsheetml/2009/9/main" xmlns:xm="http://schemas.microsoft.com/office/excel/2006/main" uri="{78C0D931-6437-407d-A8EE-F0AAD7539E65}">
      <x14:conditionalFormattings>
        <x14:conditionalFormatting>
          <x14:cfRule type="dataBar" priority="1" id="{DDF06FEA-A3E8-4DD5-B6C1-4D8A9662833F}">
            <x14:dataBar gradient="1">
              <x14:cfvo type="min"/>
              <x14:cfvo type="max"/>
              <x14:fillColor rgb="FF5B9BD5"/>
            </x14:dataBar>
          </x14:cfRule>
          <xm:sqref>N2:N15</xm:sqref>
        </x14:conditionalFormatting>
      </x14:conditionalFormattings>
    </x:ext>
  </x:extLst>
</x:worksheet>
</file>

<file path=xl/worksheets/sheet4.xml><?xml version="1.0" encoding="utf-8"?>
<x:worksheet xmlns:x="http://schemas.openxmlformats.org/spreadsheetml/2006/main">
  <x:sheetFormatPr defaultRowHeight="15"/>
  <x:cols>
    <x:col min="1" max="1" width="26" hidden="0" customWidth="1"/>
    <x:col min="2" max="2" width="20" hidden="0" customWidth="1"/>
    <x:col min="3" max="3" width="44" hidden="0" customWidth="1"/>
    <x:col min="4" max="4" width="16" hidden="0" customWidth="1"/>
    <x:col min="5" max="5" width="34" hidden="0" customWidth="1"/>
    <x:col min="6" max="6" width="28" hidden="0" customWidth="1"/>
    <x:col min="7" max="7" width="50" hidden="0" customWidth="1"/>
    <x:col min="8" max="8" width="20" hidden="0" customWidth="1"/>
    <x:col min="9" max="9" width="34" hidden="0" customWidth="1"/>
    <x:col min="10" max="10" width="40" hidden="0" customWidth="1"/>
  </x:cols>
  <x:sheetData>
    <x:row r="1" ht="30" customHeight="1">
      <x:c r="A1" s="46" t="str">
        <x:v>field_name</x:v>
      </x:c>
      <x:c r="B1" s="46" t="str">
        <x:v>field_group</x:v>
      </x:c>
      <x:c r="C1" s="46" t="str">
        <x:v>description</x:v>
      </x:c>
      <x:c r="D1" s="46" t="str">
        <x:v>required</x:v>
      </x:c>
      <x:c r="E1" s="46" t="str">
        <x:v>allowed_values</x:v>
      </x:c>
      <x:c r="F1" s="46" t="str">
        <x:v>governed_by_doc</x:v>
      </x:c>
      <x:c r="G1" s="46" t="str">
        <x:v>governing_rule</x:v>
      </x:c>
      <x:c r="H1" s="46" t="str">
        <x:v>source_or_input_type</x:v>
      </x:c>
      <x:c r="I1" s="46" t="str">
        <x:v>example_value</x:v>
      </x:c>
      <x:c r="J1" s="46" t="str">
        <x:v>qa_check</x:v>
      </x:c>
      <x:c r="K1" s="37"/>
      <x:c r="L1" s="37"/>
      <x:c r="M1" s="37"/>
      <x:c r="N1" s="37"/>
      <x:c r="O1" s="37"/>
      <x:c r="P1" s="37"/>
      <x:c r="Q1" s="37"/>
      <x:c r="R1" s="37"/>
      <x:c r="S1" s="37"/>
      <x:c r="T1" s="37"/>
      <x:c r="U1" s="37"/>
      <x:c r="V1" s="37"/>
      <x:c r="W1" s="37"/>
      <x:c r="X1" s="37"/>
      <x:c r="Y1" s="37"/>
      <x:c r="Z1" s="37"/>
    </x:row>
    <x:row r="2" ht="30" customHeight="1">
      <x:c r="A2" s="24" t="str">
        <x:v>curve_record_id</x:v>
      </x:c>
      <x:c r="B2" s="24" t="str">
        <x:v>Identity</x:v>
      </x:c>
      <x:c r="C2" s="24" t="str">
        <x:v>Stable unique ID for one failure-unit curve record.</x:v>
      </x:c>
      <x:c r="D2" s="24" t="str">
        <x:v>Required</x:v>
      </x:c>
      <x:c r="E2" s="24" t="str">
        <x:v>Text ID</x:v>
      </x:c>
      <x:c r="F2" s="24" t="str">
        <x:v>00_assembled_curve_record</x:v>
      </x:c>
      <x:c r="G2" s="24" t="str">
        <x:v>One record per failure-unit; cell is collection plus assembly.</x:v>
      </x:c>
      <x:c r="H2" s="24" t="str">
        <x:v>Derived</x:v>
      </x:c>
      <x:c r="I2" s="24" t="str">
        <x:v>HAIL_SOLAR_MODULE_GLASS_CELL</x:v>
      </x:c>
      <x:c r="J2" s="24" t="str">
        <x:v>Unique and nonblank.</x:v>
      </x:c>
    </x:row>
    <x:row r="3" ht="30" customHeight="1">
      <x:c r="A3" s="24" t="str">
        <x:v>cell_id</x:v>
      </x:c>
      <x:c r="B3" s="24" t="str">
        <x:v>Identity</x:v>
      </x:c>
      <x:c r="C3" s="24" t="str">
        <x:v>Hazard × asset cell ID.</x:v>
      </x:c>
      <x:c r="D3" s="24" t="str">
        <x:v>Required</x:v>
      </x:c>
      <x:c r="E3" s="24" t="str">
        <x:v>Cell_Index.cell_id</x:v>
      </x:c>
      <x:c r="F3" s="24" t="str">
        <x:v>00_assembled_curve_record</x:v>
      </x:c>
      <x:c r="G3" s="24" t="str">
        <x:v>Cell collects failure-unit records.</x:v>
      </x:c>
      <x:c r="H3" s="24" t="str">
        <x:v>Derived</x:v>
      </x:c>
      <x:c r="I3" s="24" t="str">
        <x:v>HAIL_SOLAR</x:v>
      </x:c>
      <x:c r="J3" s="24" t="str">
        <x:v>Must exist in Cell_Index.</x:v>
      </x:c>
    </x:row>
    <x:row r="4" ht="30" customHeight="1">
      <x:c r="A4" s="24" t="str">
        <x:v>hazard</x:v>
      </x:c>
      <x:c r="B4" s="24" t="str">
        <x:v>Identity</x:v>
      </x:c>
      <x:c r="C4" s="24" t="str">
        <x:v>Hazard family.</x:v>
      </x:c>
      <x:c r="D4" s="24" t="str">
        <x:v>Required</x:v>
      </x:c>
      <x:c r="E4" s="24" t="str">
        <x:v>hail; flood; strong_wind; tornado; wildfire; lightning; snow_ice; hurricane</x:v>
      </x:c>
      <x:c r="F4" s="24" t="str">
        <x:v>02_x_axis_intensity_variable</x:v>
      </x:c>
      <x:c r="G4" s="24" t="str">
        <x:v>Hazard determines axis and failure mechanism.</x:v>
      </x:c>
      <x:c r="H4" s="24" t="str">
        <x:v>Input</x:v>
      </x:c>
      <x:c r="I4" s="24" t="str">
        <x:v>hail</x:v>
      </x:c>
      <x:c r="J4" s="24" t="str">
        <x:v>Controlled vocabulary.</x:v>
      </x:c>
    </x:row>
    <x:row r="5" ht="30" customHeight="1">
      <x:c r="A5" s="24" t="str">
        <x:v>asset_class</x:v>
      </x:c>
      <x:c r="B5" s="24" t="str">
        <x:v>Identity</x:v>
      </x:c>
      <x:c r="C5" s="24" t="str">
        <x:v>Asset class exposed to hazard.</x:v>
      </x:c>
      <x:c r="D5" s="24" t="str">
        <x:v>Required</x:v>
      </x:c>
      <x:c r="E5" s="24" t="str">
        <x:v>solar_pv; land_based_wind; bess; thermal</x:v>
      </x:c>
      <x:c r="F5" s="24" t="str">
        <x:v>substrate_decomposition</x:v>
      </x:c>
      <x:c r="G5" s="24" t="str">
        <x:v>Must map to applicable substrate tech class.</x:v>
      </x:c>
      <x:c r="H5" s="24" t="str">
        <x:v>Input</x:v>
      </x:c>
      <x:c r="I5" s="24" t="str">
        <x:v>solar_pv</x:v>
      </x:c>
      <x:c r="J5" s="24" t="str">
        <x:v>Controlled vocabulary.</x:v>
      </x:c>
    </x:row>
    <x:row r="6" ht="30" customHeight="1">
      <x:c r="A6" s="24" t="str">
        <x:v>failure_unit_id</x:v>
      </x:c>
      <x:c r="B6" s="24" t="str">
        <x:v>Granularity</x:v>
      </x:c>
      <x:c r="C6" s="24" t="str">
        <x:v>Unit this curve is for.</x:v>
      </x:c>
      <x:c r="D6" s="24" t="str">
        <x:v>Required</x:v>
      </x:c>
      <x:c r="E6" s="24" t="str">
        <x:v>Text ID</x:v>
      </x:c>
      <x:c r="F6" s="24" t="str">
        <x:v>01_granularity</x:v>
      </x:c>
      <x:c r="G6" s="24" t="str">
        <x:v>Subsystem by default; go finer only where damage concentrates.</x:v>
      </x:c>
      <x:c r="H6" s="24" t="str">
        <x:v>Derived</x:v>
      </x:c>
      <x:c r="I6" s="24" t="str">
        <x:v>PV_MODULE_GLASS_CELL</x:v>
      </x:c>
      <x:c r="J6" s="24" t="str">
        <x:v>No duplicate within cell unless explicitly split.</x:v>
      </x:c>
    </x:row>
    <x:row r="7" ht="30" customHeight="1">
      <x:c r="A7" s="24" t="str">
        <x:v>failure_unit_label</x:v>
      </x:c>
      <x:c r="B7" s="24" t="str">
        <x:v>Granularity</x:v>
      </x:c>
      <x:c r="C7" s="24" t="str">
        <x:v>Human-readable failure unit name.</x:v>
      </x:c>
      <x:c r="D7" s="24" t="str">
        <x:v>Required</x:v>
      </x:c>
      <x:c r="E7" s="24" t="str">
        <x:v>Text</x:v>
      </x:c>
      <x:c r="F7" s="24" t="str">
        <x:v>01_granularity</x:v>
      </x:c>
      <x:c r="G7" s="24" t="str">
        <x:v>Failure unit is the curve-record atom.</x:v>
      </x:c>
      <x:c r="H7" s="24" t="str">
        <x:v>Input</x:v>
      </x:c>
      <x:c r="I7" s="24" t="str">
        <x:v>PV module glass/cell damage</x:v>
      </x:c>
      <x:c r="J7" s="24" t="str">
        <x:v>Nonblank.</x:v>
      </x:c>
    </x:row>
    <x:row r="8" ht="30" customHeight="1">
      <x:c r="A8" s="24" t="str">
        <x:v>asset_scope</x:v>
      </x:c>
      <x:c r="B8" s="24" t="str">
        <x:v>Substrate map</x:v>
      </x:c>
      <x:c r="C8" s="24" t="str">
        <x:v>Plant, generator, or cost_basis scope.</x:v>
      </x:c>
      <x:c r="D8" s="24" t="str">
        <x:v>Required</x:v>
      </x:c>
      <x:c r="E8" s="24" t="str">
        <x:v>plant; generator; cost_basis</x:v>
      </x:c>
      <x:c r="F8" s="24" t="str">
        <x:v>substrate_decomposition</x:v>
      </x:c>
      <x:c r="G8" s="24" t="str">
        <x:v>Respect plant vs generator scope.</x:v>
      </x:c>
      <x:c r="H8" s="24" t="str">
        <x:v>Derived</x:v>
      </x:c>
      <x:c r="I8" s="24" t="str">
        <x:v>generator</x:v>
      </x:c>
      <x:c r="J8" s="24" t="str">
        <x:v>Matches substrate/value mapping.</x:v>
      </x:c>
    </x:row>
    <x:row r="9" ht="30" customHeight="1">
      <x:c r="A9" s="24" t="str">
        <x:v>subsystem</x:v>
      </x:c>
      <x:c r="B9" s="24" t="str">
        <x:v>Substrate map</x:v>
      </x:c>
      <x:c r="C9" s="24" t="str">
        <x:v>Substrate subsystem code.</x:v>
      </x:c>
      <x:c r="D9" s="24" t="str">
        <x:v>Required</x:v>
      </x:c>
      <x:c r="E9" s="24" t="str">
        <x:v>PV_ARRAY; INVERTER_SYSTEM; ROTOR_ASSEMBLY; etc.</x:v>
      </x:c>
      <x:c r="F9" s="24" t="str">
        <x:v>substrate_decomposition</x:v>
      </x:c>
      <x:c r="G9" s="24" t="str">
        <x:v>Use canonical subsystem vocabulary.</x:v>
      </x:c>
      <x:c r="H9" s="24" t="str">
        <x:v>Input/derived</x:v>
      </x:c>
      <x:c r="I9" s="24" t="str">
        <x:v>PV_ARRAY</x:v>
      </x:c>
      <x:c r="J9" s="24" t="str">
        <x:v>Must be recognized or flagged cost_basis.</x:v>
      </x:c>
    </x:row>
    <x:row r="10" ht="30" customHeight="1">
      <x:c r="A10" s="24" t="str">
        <x:v>component</x:v>
      </x:c>
      <x:c r="B10" s="24" t="str">
        <x:v>Substrate map</x:v>
      </x:c>
      <x:c r="C10" s="24" t="str">
        <x:v>Substrate component code or component rollup.</x:v>
      </x:c>
      <x:c r="D10" s="24" t="str">
        <x:v>Conditional</x:v>
      </x:c>
      <x:c r="E10" s="24" t="str">
        <x:v>PV_MODULE; BLADE; TOWER_SECTION; etc.</x:v>
      </x:c>
      <x:c r="F10" s="24" t="str">
        <x:v>substrate_decomposition</x:v>
      </x:c>
      <x:c r="G10" s="24" t="str">
        <x:v>Use component only where curve/value needs it.</x:v>
      </x:c>
      <x:c r="H10" s="24" t="str">
        <x:v>Input/derived</x:v>
      </x:c>
      <x:c r="I10" s="24" t="str">
        <x:v>PV_MODULE</x:v>
      </x:c>
      <x:c r="J10" s="24" t="str">
        <x:v>Can be blank only for subsystem-level rows.</x:v>
      </x:c>
    </x:row>
    <x:row r="11" ht="30" customHeight="1">
      <x:c r="A11" s="24" t="str">
        <x:v>x_axis_id</x:v>
      </x:c>
      <x:c r="B11" s="24" t="str">
        <x:v>X-axis</x:v>
      </x:c>
      <x:c r="C11" s="24" t="str">
        <x:v>Hazard intensity variable ID.</x:v>
      </x:c>
      <x:c r="D11" s="24" t="str">
        <x:v>Required</x:v>
      </x:c>
      <x:c r="E11" s="24" t="str">
        <x:v>X_Axis_Map.x_axis_id</x:v>
      </x:c>
      <x:c r="F11" s="24" t="str">
        <x:v>02_x_axis_intensity_variable</x:v>
      </x:c>
      <x:c r="G11" s="24" t="str">
        <x:v>v1 is univariate unless escape fails; for hail, operational x-axis is diameter/MESH with KE as bridge.</x:v>
      </x:c>
      <x:c r="H11" s="24" t="str">
        <x:v>Derived</x:v>
      </x:c>
      <x:c r="I11" s="24" t="str">
        <x:v>HAIL_DIAMETER_MESH_EQUIV</x:v>
      </x:c>
      <x:c r="J11" s="24" t="str">
        <x:v>Must exist in X_Axis_Map.</x:v>
      </x:c>
    </x:row>
    <x:row r="12" ht="30" customHeight="1">
      <x:c r="A12" s="24" t="str">
        <x:v>x_axis_unit</x:v>
      </x:c>
      <x:c r="B12" s="24" t="str">
        <x:v>X-axis</x:v>
      </x:c>
      <x:c r="C12" s="24" t="str">
        <x:v>Unit for intensity variable.</x:v>
      </x:c>
      <x:c r="D12" s="24" t="str">
        <x:v>Required</x:v>
      </x:c>
      <x:c r="E12" s="24" t="str">
        <x:v>Text unit</x:v>
      </x:c>
      <x:c r="F12" s="24" t="str">
        <x:v>02_x_axis_intensity_variable</x:v>
      </x:c>
      <x:c r="G12" s="24" t="str">
        <x:v>Units explicit; source-native units accepted only if normalized.</x:v>
      </x:c>
      <x:c r="H12" s="24" t="str">
        <x:v>Input</x:v>
      </x:c>
      <x:c r="I12" s="24" t="str">
        <x:v>mm internal; in source</x:v>
      </x:c>
      <x:c r="J12" s="24" t="str">
        <x:v>Nonblank.</x:v>
      </x:c>
    </x:row>
    <x:row r="13" ht="30" customHeight="1">
      <x:c r="A13" s="24" t="str">
        <x:v>curve_native_axis</x:v>
      </x:c>
      <x:c r="B13" s="24" t="str">
        <x:v>X-axis</x:v>
      </x:c>
      <x:c r="C13" s="24" t="str">
        <x:v>Whether the curve record is native to the operational axis or a derived/bridge axis.</x:v>
      </x:c>
      <x:c r="D13" s="24" t="str">
        <x:v>Required</x:v>
      </x:c>
      <x:c r="E13" s="24" t="str">
        <x:v>diameter-native; KE-bridge; states; n/a</x:v>
      </x:c>
      <x:c r="F13" s="24" t="str">
        <x:v>02_x_axis_intensity_variable</x:v>
      </x:c>
      <x:c r="G13" s="24" t="str">
        <x:v>Separate provider-native hazard axis from physics bridge axis.</x:v>
      </x:c>
      <x:c r="H13" s="24" t="str">
        <x:v>Derived</x:v>
      </x:c>
      <x:c r="I13" s="24" t="str">
        <x:v>diameter-native v1; KE bridge allowed</x:v>
      </x:c>
      <x:c r="J13" s="24" t="str">
        <x:v>Nonblank; must be compatible with X_Axis_Map and Axis_Bridges.</x:v>
      </x:c>
    </x:row>
    <x:row r="14" ht="30" customHeight="1">
      <x:c r="A14" s="24" t="str">
        <x:v>bridge_axis_id</x:v>
      </x:c>
      <x:c r="B14" s="24" t="str">
        <x:v>X-axis</x:v>
      </x:c>
      <x:c r="C14" s="24" t="str">
        <x:v>Bridge used to translate source-native axis to physics/evidence axis, if applicable.</x:v>
      </x:c>
      <x:c r="D14" s="24" t="str">
        <x:v>Conditional</x:v>
      </x:c>
      <x:c r="E14" s="24" t="str">
        <x:v>Axis_Bridges.bridge_axis_id; n/a</x:v>
      </x:c>
      <x:c r="F14" s="24" t="str">
        <x:v>02_x_axis_intensity_variable / 04_curation_derivation</x:v>
      </x:c>
      <x:c r="G14" s="24" t="str">
        <x:v>Bridge assumptions must be explicit and versioned; never hidden in curve parameters.</x:v>
      </x:c>
      <x:c r="H14" s="24" t="str">
        <x:v>Derived/Input</x:v>
      </x:c>
      <x:c r="I14" s="24" t="str">
        <x:v>HAIL_DIAMETER_TO_IMPACT_KE_PROXY</x:v>
      </x:c>
      <x:c r="J14" s="24" t="str">
        <x:v>Must exist in Axis_Bridges when not n/a.</x:v>
      </x:c>
    </x:row>
    <x:row r="15" ht="30" customHeight="1">
      <x:c r="A15" s="24" t="str">
        <x:v>bridge_assumption_version</x:v>
      </x:c>
      <x:c r="B15" s="24" t="str">
        <x:v>X-axis</x:v>
      </x:c>
      <x:c r="C15" s="24" t="str">
        <x:v>Version or status of assumptions behind an axis bridge.</x:v>
      </x:c>
      <x:c r="D15" s="24" t="str">
        <x:v>Conditional</x:v>
      </x:c>
      <x:c r="E15" s="24" t="str">
        <x:v>Text; n/a</x:v>
      </x:c>
      <x:c r="F15" s="24" t="str">
        <x:v>04_curation_derivation</x:v>
      </x:c>
      <x:c r="G15" s="24" t="str">
        <x:v>Assumptions used for derivation require provenance and versioning.</x:v>
      </x:c>
      <x:c r="H15" s="24" t="str">
        <x:v>Input</x:v>
      </x:c>
      <x:c r="I15" s="24" t="str">
        <x:v>required if curve/anchor uses KE</x:v>
      </x:c>
      <x:c r="J15" s="24" t="str">
        <x:v>Required when bridge_axis_id is not n/a.</x:v>
      </x:c>
    </x:row>
    <x:row r="16" ht="30" customHeight="1">
      <x:c r="A16" s="24" t="str">
        <x:v>bridge_notes</x:v>
      </x:c>
      <x:c r="B16" s="24" t="str">
        <x:v>X-axis</x:v>
      </x:c>
      <x:c r="C16" s="24" t="str">
        <x:v>Plain-English bridge caveats and unit warnings.</x:v>
      </x:c>
      <x:c r="D16" s="24" t="str">
        <x:v>Conditional</x:v>
      </x:c>
      <x:c r="E16" s="24" t="str">
        <x:v>Text; n/a</x:v>
      </x:c>
      <x:c r="F16" s="24" t="str">
        <x:v>02_x_axis_intensity_variable / 04_curation_derivation</x:v>
      </x:c>
      <x:c r="G16" s="24" t="str">
        <x:v>State whether bridge is operational, physical, per-impact, or areal flux.</x:v>
      </x:c>
      <x:c r="H16" s="24" t="str">
        <x:v>Input</x:v>
      </x:c>
      <x:c r="I16" s="24" t="str">
        <x:v>Do not label J/impact as J/m²</x:v>
      </x:c>
      <x:c r="J16" s="24" t="str">
        <x:v>Nonblank when bridge is used.</x:v>
      </x:c>
    </x:row>
    <x:row r="17" ht="30" customHeight="1">
      <x:c r="A17" s="24" t="str">
        <x:v>chain_node</x:v>
      </x:c>
      <x:c r="B17" s="24" t="str">
        <x:v>X-axis</x:v>
      </x:c>
      <x:c r="C17" s="24" t="str">
        <x:v>Where x sits in causal chain.</x:v>
      </x:c>
      <x:c r="D17" s="24" t="str">
        <x:v>Required</x:v>
      </x:c>
      <x:c r="E17" s="24" t="str">
        <x:v>distal; proximate; component_load; damage_state</x:v>
      </x:c>
      <x:c r="F17" s="24" t="str">
        <x:v>02_x_axis_intensity_variable</x:v>
      </x:c>
      <x:c r="G17" s="24" t="str">
        <x:v>Choose chain position deliberately.</x:v>
      </x:c>
      <x:c r="H17" s="24" t="str">
        <x:v>Derived</x:v>
      </x:c>
      <x:c r="I17" s="24" t="str">
        <x:v>proximate</x:v>
      </x:c>
      <x:c r="J17" s="24" t="str">
        <x:v>Controlled vocabulary.</x:v>
      </x:c>
    </x:row>
    <x:row r="18" ht="30" customHeight="1">
      <x:c r="A18" s="24" t="str">
        <x:v>conditioners</x:v>
      </x:c>
      <x:c r="B18" s="24" t="str">
        <x:v>Conditioner/selector</x:v>
      </x:c>
      <x:c r="C18" s="24" t="str">
        <x:v>Asset state during event.</x:v>
      </x:c>
      <x:c r="D18" s="24" t="str">
        <x:v>Conditional</x:v>
      </x:c>
      <x:c r="E18" s="24" t="str">
        <x:v>Text/list</x:v>
      </x:c>
      <x:c r="F18" s="24" t="str">
        <x:v>02_x_axis_intensity_variable</x:v>
      </x:c>
      <x:c r="G18" s="24" t="str">
        <x:v>Do not promote conditioners to axes by default.</x:v>
      </x:c>
      <x:c r="H18" s="24" t="str">
        <x:v>Input</x:v>
      </x:c>
      <x:c r="I18" s="24" t="str">
        <x:v>tracker stow angle</x:v>
      </x:c>
      <x:c r="J18" s="24" t="str">
        <x:v>Listed in Conditioners_Selectors if material.</x:v>
      </x:c>
    </x:row>
    <x:row r="19" ht="30" customHeight="1">
      <x:c r="A19" s="24" t="str">
        <x:v>selectors</x:v>
      </x:c>
      <x:c r="B19" s="24" t="str">
        <x:v>Conditioner/selector</x:v>
      </x:c>
      <x:c r="C19" s="24" t="str">
        <x:v>Fixed asset attributes that choose/shift curve.</x:v>
      </x:c>
      <x:c r="D19" s="24" t="str">
        <x:v>Conditional</x:v>
      </x:c>
      <x:c r="E19" s="24" t="str">
        <x:v>Text/list</x:v>
      </x:c>
      <x:c r="F19" s="24" t="str">
        <x:v>02_x_axis_intensity_variable</x:v>
      </x:c>
      <x:c r="G19" s="24" t="str">
        <x:v>Selectors are not event variables.</x:v>
      </x:c>
      <x:c r="H19" s="24" t="str">
        <x:v>Input</x:v>
      </x:c>
      <x:c r="I19" s="24" t="str">
        <x:v>glass thickness; module type</x:v>
      </x:c>
      <x:c r="J19" s="24" t="str">
        <x:v>Listed if material.</x:v>
      </x:c>
    </x:row>
    <x:row r="20" ht="30" customHeight="1">
      <x:c r="A20" s="24" t="str">
        <x:v>value_link_id</x:v>
      </x:c>
      <x:c r="B20" s="24" t="str">
        <x:v>Value</x:v>
      </x:c>
      <x:c r="C20" s="24" t="str">
        <x:v>Join to valuation bucket.</x:v>
      </x:c>
      <x:c r="D20" s="24" t="str">
        <x:v>Required</x:v>
      </x:c>
      <x:c r="E20" s="24" t="str">
        <x:v>Value_Link.value_link_id</x:v>
      </x:c>
      <x:c r="F20" s="24" t="str">
        <x:v>03_valuation_guide</x:v>
      </x:c>
      <x:c r="G20" s="24" t="str">
        <x:v>Damage record consumes value ledger; does not re-solve valuation.</x:v>
      </x:c>
      <x:c r="H20" s="24" t="str">
        <x:v>Derived</x:v>
      </x:c>
      <x:c r="I20" s="24" t="str">
        <x:v>VL_HAIL_SOLAR_MODULE_GLASS</x:v>
      </x:c>
      <x:c r="J20" s="24" t="str">
        <x:v>Must exist in Value_Link.</x:v>
      </x:c>
    </x:row>
    <x:row r="21" ht="30" customHeight="1">
      <x:c r="A21" s="24" t="str">
        <x:v>basis</x:v>
      </x:c>
      <x:c r="B21" s="24" t="str">
        <x:v>Value</x:v>
      </x:c>
      <x:c r="C21" s="24" t="str">
        <x:v>Denominator/basis for value.</x:v>
      </x:c>
      <x:c r="D21" s="24" t="str">
        <x:v>Required</x:v>
      </x:c>
      <x:c r="E21" s="24" t="str">
        <x:v>physical_replaceable; insured_TIV; installed_capex; replacement_cost</x:v>
      </x:c>
      <x:c r="F21" s="24" t="str">
        <x:v>03_valuation_guide</x:v>
      </x:c>
      <x:c r="G21" s="24" t="str">
        <x:v>Basis required on every value.</x:v>
      </x:c>
      <x:c r="H21" s="24" t="str">
        <x:v>Derived</x:v>
      </x:c>
      <x:c r="I21" s="24" t="str">
        <x:v>physical_replaceable</x:v>
      </x:c>
      <x:c r="J21" s="24" t="str">
        <x:v>No blank basis.</x:v>
      </x:c>
    </x:row>
    <x:row r="22" ht="30" customHeight="1">
      <x:c r="A22" s="24" t="str">
        <x:v>value_share_physical_base</x:v>
      </x:c>
      <x:c r="B22" s="24" t="str">
        <x:v>Value</x:v>
      </x:c>
      <x:c r="C22" s="24" t="str">
        <x:v>Share of physical replaceable base.</x:v>
      </x:c>
      <x:c r="D22" s="24" t="str">
        <x:v>Required for physical rows</x:v>
      </x:c>
      <x:c r="E22" s="24" t="str">
        <x:v>0-1</x:v>
      </x:c>
      <x:c r="F22" s="24" t="str">
        <x:v>03_valuation_guide</x:v>
      </x:c>
      <x:c r="G22" s="24" t="str">
        <x:v>Use physical base for physical-damage ratio.</x:v>
      </x:c>
      <x:c r="H22" s="24" t="str">
        <x:v>Derived</x:v>
      </x:c>
      <x:c r="I22" s="24" t="str">
        <x:v>0.33175698</x:v>
      </x:c>
      <x:c r="J22" s="24" t="str">
        <x:v>Between 0 and 1; source linked.</x:v>
      </x:c>
    </x:row>
    <x:row r="23" ht="30" customHeight="1">
      <x:c r="A23" s="24" t="str">
        <x:v>at_risk_f</x:v>
      </x:c>
      <x:c r="B23" s="24" t="str">
        <x:v>Value</x:v>
      </x:c>
      <x:c r="C23" s="24" t="str">
        <x:v>Within-bucket exposed fraction.</x:v>
      </x:c>
      <x:c r="D23" s="24" t="str">
        <x:v>Conditional</x:v>
      </x:c>
      <x:c r="E23" s="24" t="str">
        <x:v>0-1</x:v>
      </x:c>
      <x:c r="F23" s="24" t="str">
        <x:v>03_valuation_guide</x:v>
      </x:c>
      <x:c r="G23" s="24" t="str">
        <x:v>Only where concentration applies; type per hazard.</x:v>
      </x:c>
      <x:c r="H23" s="24" t="str">
        <x:v>Assumption/source</x:v>
      </x:c>
      <x:c r="I23" s="24" t="str">
        <x:v>0.80 placeholder</x:v>
      </x:c>
      <x:c r="J23" s="24" t="str">
        <x:v>Between 0 and 1; f_kind required.</x:v>
      </x:c>
    </x:row>
    <x:row r="24" ht="30" customHeight="1">
      <x:c r="A24" s="24" t="str">
        <x:v>f_kind</x:v>
      </x:c>
      <x:c r="B24" s="24" t="str">
        <x:v>Value</x:v>
      </x:c>
      <x:c r="C24" s="24" t="str">
        <x:v>What kind of f is used.</x:v>
      </x:c>
      <x:c r="D24" s="24" t="str">
        <x:v>Conditional</x:v>
      </x:c>
      <x:c r="E24" s="24" t="str">
        <x:v>material_share; site_geometry; n/a; placeholder</x:v>
      </x:c>
      <x:c r="F24" s="24" t="str">
        <x:v>03_valuation_guide</x:v>
      </x:c>
      <x:c r="G24" s="24" t="str">
        <x:v>f is hazard-specific in kind.</x:v>
      </x:c>
      <x:c r="H24" s="24" t="str">
        <x:v>Derived</x:v>
      </x:c>
      <x:c r="I24" s="24" t="str">
        <x:v>material_share</x:v>
      </x:c>
      <x:c r="J24" s="24" t="str">
        <x:v>Required when at_risk_f not 1.</x:v>
      </x:c>
    </x:row>
    <x:row r="25" ht="30" customHeight="1">
      <x:c r="A25" s="24" t="str">
        <x:v>cap_L</x:v>
      </x:c>
      <x:c r="B25" s="24" t="str">
        <x:v>Value/emit</x:v>
      </x:c>
      <x:c r="C25" s="24" t="str">
        <x:v>Saturation cap for failure-unit loss.</x:v>
      </x:c>
      <x:c r="D25" s="24" t="str">
        <x:v>Required</x:v>
      </x:c>
      <x:c r="E25" s="24" t="str">
        <x:v>USD or asset share</x:v>
      </x:c>
      <x:c r="F25" s="24" t="str">
        <x:v>03_valuation_guide;05_emit_object</x:v>
      </x:c>
      <x:c r="G25" s="24" t="str">
        <x:v>Cap creates first nonlinearity if it binds.</x:v>
      </x:c>
      <x:c r="H25" s="24" t="str">
        <x:v>Formula</x:v>
      </x:c>
      <x:c r="I25" s="24" t="str">
        <x:v>physical_base × share × f</x:v>
      </x:c>
      <x:c r="J25" s="24" t="str">
        <x:v>Formula check.</x:v>
      </x:c>
    </x:row>
    <x:row r="26" ht="30" customHeight="1">
      <x:c r="A26" s="24" t="str">
        <x:v>curve_form</x:v>
      </x:c>
      <x:c r="B26" s="24" t="str">
        <x:v>Curve</x:v>
      </x:c>
      <x:c r="C26" s="24" t="str">
        <x:v>Functional form.</x:v>
      </x:c>
      <x:c r="D26" s="24" t="str">
        <x:v>Required/TBD allowed in scaffold</x:v>
      </x:c>
      <x:c r="E26" s="24" t="str">
        <x:v>DR0; step; states; sigmoid; distribution; TBD</x:v>
      </x:c>
      <x:c r="F26" s="24" t="str">
        <x:v>04_curation_derivation</x:v>
      </x:c>
      <x:c r="G26" s="24" t="str">
        <x:v>Choose simplest form supported by evidence.</x:v>
      </x:c>
      <x:c r="H26" s="24" t="str">
        <x:v>Input</x:v>
      </x:c>
      <x:c r="I26" s="24" t="str">
        <x:v>TBD</x:v>
      </x:c>
      <x:c r="J26" s="24" t="str">
        <x:v>No final row may remain TBD.</x:v>
      </x:c>
    </x:row>
    <x:row r="27" ht="30" customHeight="1">
      <x:c r="A27" s="24" t="str">
        <x:v>parameter_set_id</x:v>
      </x:c>
      <x:c r="B27" s="24" t="str">
        <x:v>Curve</x:v>
      </x:c>
      <x:c r="C27" s="24" t="str">
        <x:v>Join to curve parameters.</x:v>
      </x:c>
      <x:c r="D27" s="24" t="str">
        <x:v>Conditional</x:v>
      </x:c>
      <x:c r="E27" s="24" t="str">
        <x:v>Curve_Params.parameter_set_id</x:v>
      </x:c>
      <x:c r="F27" s="24" t="str">
        <x:v>04_curation_derivation</x:v>
      </x:c>
      <x:c r="G27" s="24" t="str">
        <x:v>Parameters carry evidence by parameter.</x:v>
      </x:c>
      <x:c r="H27" s="24" t="str">
        <x:v>Derived</x:v>
      </x:c>
      <x:c r="I27" s="24" t="str">
        <x:v>PARAM_HAIL_SOLAR_MODULE</x:v>
      </x:c>
      <x:c r="J27" s="24" t="str">
        <x:v>Must exist if curve_form not DR0.</x:v>
      </x:c>
    </x:row>
    <x:row r="28" ht="30" customHeight="1">
      <x:c r="A28" s="24" t="str">
        <x:v>evidence_id</x:v>
      </x:c>
      <x:c r="B28" s="24" t="str">
        <x:v>Evidence</x:v>
      </x:c>
      <x:c r="C28" s="24" t="str">
        <x:v>Join to evidence log.</x:v>
      </x:c>
      <x:c r="D28" s="24" t="str">
        <x:v>Required</x:v>
      </x:c>
      <x:c r="E28" s="24" t="str">
        <x:v>Evidence_Log.evidence_id</x:v>
      </x:c>
      <x:c r="F28" s="24" t="str">
        <x:v>04_curation_derivation</x:v>
      </x:c>
      <x:c r="G28" s="24" t="str">
        <x:v>Every parameter/input labeled by evidence class.</x:v>
      </x:c>
      <x:c r="H28" s="24" t="str">
        <x:v>Derived</x:v>
      </x:c>
      <x:c r="I28" s="24" t="str">
        <x:v>EV_FOUNDATION_04</x:v>
      </x:c>
      <x:c r="J28" s="24" t="str">
        <x:v>Must exist.</x:v>
      </x:c>
    </x:row>
    <x:row r="29" ht="30" customHeight="1">
      <x:c r="A29" s="24" t="str">
        <x:v>evidence_class</x:v>
      </x:c>
      <x:c r="B29" s="24" t="str">
        <x:v>Evidence</x:v>
      </x:c>
      <x:c r="C29" s="24" t="str">
        <x:v>Evidence strength class.</x:v>
      </x:c>
      <x:c r="D29" s="24" t="str">
        <x:v>Required when evidence row</x:v>
      </x:c>
      <x:c r="E29" s="24" t="str">
        <x:v>empirical; analytical; standard; expert_judgment; hybrid; placeholder</x:v>
      </x:c>
      <x:c r="F29" s="24" t="str">
        <x:v>04_curation_derivation</x:v>
      </x:c>
      <x:c r="G29" s="24" t="str">
        <x:v>Use strongest available evidence; label class.</x:v>
      </x:c>
      <x:c r="H29" s="24" t="str">
        <x:v>Derived</x:v>
      </x:c>
      <x:c r="I29" s="24" t="str">
        <x:v>placeholder</x:v>
      </x:c>
      <x:c r="J29" s="24" t="str">
        <x:v>No unlabeled evidence.</x:v>
      </x:c>
    </x:row>
    <x:row r="30" ht="30" customHeight="1">
      <x:c r="A30" s="24" t="str">
        <x:v>emit_policy_id</x:v>
      </x:c>
      <x:c r="B30" s="24" t="str">
        <x:v>Emit</x:v>
      </x:c>
      <x:c r="C30" s="24" t="str">
        <x:v>Join to emit/metric policy.</x:v>
      </x:c>
      <x:c r="D30" s="24" t="str">
        <x:v>Required</x:v>
      </x:c>
      <x:c r="E30" s="24" t="str">
        <x:v>Emit_Metrics.emit_policy_id</x:v>
      </x:c>
      <x:c r="F30" s="24" t="str">
        <x:v>05_emit_object</x:v>
      </x:c>
      <x:c r="G30" s="24" t="str">
        <x:v>Emit rung determined by first nonlinearity.</x:v>
      </x:c>
      <x:c r="H30" s="24" t="str">
        <x:v>Derived</x:v>
      </x:c>
      <x:c r="I30" s="24" t="str">
        <x:v>EMIT_HAIL_SOLAR_MODULE</x:v>
      </x:c>
      <x:c r="J30" s="24" t="str">
        <x:v>Must exist.</x:v>
      </x:c>
    </x:row>
    <x:row r="31" ht="30" customHeight="1">
      <x:c r="A31" s="24" t="str">
        <x:v>emit_type</x:v>
      </x:c>
      <x:c r="B31" s="24" t="str">
        <x:v>Emit</x:v>
      </x:c>
      <x:c r="C31" s="24" t="str">
        <x:v>Object emitted by curve.</x:v>
      </x:c>
      <x:c r="D31" s="24" t="str">
        <x:v>Required</x:v>
      </x:c>
      <x:c r="E31" s="24" t="str">
        <x:v>scalar; spread; states; distribution; DR0; pending</x:v>
      </x:c>
      <x:c r="F31" s="24" t="str">
        <x:v>05_emit_object</x:v>
      </x:c>
      <x:c r="G31" s="24" t="str">
        <x:v>Distribution-ready interface; scalar only if linear path honest.</x:v>
      </x:c>
      <x:c r="H31" s="24" t="str">
        <x:v>Derived</x:v>
      </x:c>
      <x:c r="I31" s="24" t="str">
        <x:v>pending</x:v>
      </x:c>
      <x:c r="J31" s="24" t="str">
        <x:v>Consistent with cap preflight.</x:v>
      </x:c>
    </x:row>
    <x:row r="32" ht="30" customHeight="1">
      <x:c r="A32" s="24" t="str">
        <x:v>metrics_policy_id</x:v>
      </x:c>
      <x:c r="B32" s="24" t="str">
        <x:v>Metrics</x:v>
      </x:c>
      <x:c r="C32" s="24" t="str">
        <x:v>Join to metrics policy.</x:v>
      </x:c>
      <x:c r="D32" s="24" t="str">
        <x:v>Required</x:v>
      </x:c>
      <x:c r="E32" s="24" t="str">
        <x:v>Emit_Metrics.metrics_policy_id</x:v>
      </x:c>
      <x:c r="F32" s="24" t="str">
        <x:v>06_metrics_and_tail_honesty</x:v>
      </x:c>
      <x:c r="G32" s="24" t="str">
        <x:v>EAL conditional; tail withheld under scalar.</x:v>
      </x:c>
      <x:c r="H32" s="24" t="str">
        <x:v>Derived</x:v>
      </x:c>
      <x:c r="I32" s="24" t="str">
        <x:v>METRIC_HAIL_SOLAR_MODULE</x:v>
      </x:c>
      <x:c r="J32" s="24" t="str">
        <x:v>Must exist.</x:v>
      </x:c>
    </x:row>
    <x:row r="33">
      <x:c r="A33" s="24" t="str">
        <x:v>EAL_status</x:v>
      </x:c>
      <x:c r="B33" s="24" t="str">
        <x:v>Metrics</x:v>
      </x:c>
      <x:c r="C33" s="24" t="str">
        <x:v>Whether EAL is shippable.</x:v>
      </x:c>
      <x:c r="D33" s="24" t="str">
        <x:v>Required</x:v>
      </x:c>
      <x:c r="E33" s="24" t="str">
        <x:v>shippable; provisional; needs_climb; withheld</x:v>
      </x:c>
      <x:c r="F33" s="24" t="str">
        <x:v>06_metrics_and_tail_honesty</x:v>
      </x:c>
      <x:c r="G33" s="24" t="str">
        <x:v>EAL ships only if cap rarely binds and no terms.</x:v>
      </x:c>
      <x:c r="H33" s="24" t="str">
        <x:v>Formula/input</x:v>
      </x:c>
      <x:c r="I33" s="24" t="str">
        <x:v>Provisional; cap check required</x:v>
      </x:c>
      <x:c r="J33" s="24" t="str">
        <x:v>Must align with cap risk.</x:v>
      </x:c>
    </x:row>
    <x:row r="34">
      <x:c r="A34" s="24" t="str">
        <x:v>tail_status</x:v>
      </x:c>
      <x:c r="B34" s="24" t="str">
        <x:v>Metrics</x:v>
      </x:c>
      <x:c r="C34" s="24" t="str">
        <x:v>Whether tail metrics are shippable.</x:v>
      </x:c>
      <x:c r="D34" s="24" t="str">
        <x:v>Required</x:v>
      </x:c>
      <x:c r="E34" s="24" t="str">
        <x:v>withheld; shippable_with_distribution</x:v>
      </x:c>
      <x:c r="F34" s="24" t="str">
        <x:v>06_metrics_and_tail_honesty</x:v>
      </x:c>
      <x:c r="G34" s="24" t="str">
        <x:v>Tail withheld without shape.</x:v>
      </x:c>
      <x:c r="H34" s="24" t="str">
        <x:v>Formula/input</x:v>
      </x:c>
      <x:c r="I34" s="24" t="str">
        <x:v>withheld</x:v>
      </x:c>
      <x:c r="J34" s="24" t="str">
        <x:v>Cannot ship under scalar.</x:v>
      </x:c>
    </x:row>
    <x:row r="35">
      <x:c r="A35" s="24" t="str">
        <x:v>open_seam_id</x:v>
      </x:c>
      <x:c r="B35" s="24" t="str">
        <x:v>QA</x:v>
      </x:c>
      <x:c r="C35" s="24" t="str">
        <x:v>Known unresolved issue.</x:v>
      </x:c>
      <x:c r="D35" s="24" t="str">
        <x:v>Conditional</x:v>
      </x:c>
      <x:c r="E35" s="24" t="str">
        <x:v>Open_Seams_Index.open_seam_id</x:v>
      </x:c>
      <x:c r="F35" s="24" t="str">
        <x:v>P2_discussion_before_commitment</x:v>
      </x:c>
      <x:c r="G35" s="24" t="str">
        <x:v>Reasoning is the cheapest place to be wrong; seam must be explicit.</x:v>
      </x:c>
      <x:c r="H35" s="24" t="str">
        <x:v>Input</x:v>
      </x:c>
      <x:c r="I35" s="24" t="str">
        <x:v>SEAM_MODULE_BOM_F</x:v>
      </x:c>
      <x:c r="J35" s="24" t="str">
        <x:v>High severity seams flagged.</x:v>
      </x:c>
    </x:row>
    <x:row r="36">
      <x:c r="A36" s="24" t="str">
        <x:v>status</x:v>
      </x:c>
      <x:c r="B36" s="24" t="str">
        <x:v>QA</x:v>
      </x:c>
      <x:c r="C36" s="24" t="str">
        <x:v>Build status for the row.</x:v>
      </x:c>
      <x:c r="D36" s="24" t="str">
        <x:v>Required</x:v>
      </x:c>
      <x:c r="E36" s="24" t="str">
        <x:v>scaffold; preflight; sourcing; parameterized; review; approved; parked</x:v>
      </x:c>
      <x:c r="F36" s="24" t="str">
        <x:v>00_assembled_curve_record</x:v>
      </x:c>
      <x:c r="G36" s="24" t="str">
        <x:v>Records are fillable incrementally.</x:v>
      </x:c>
      <x:c r="H36" s="24" t="str">
        <x:v>Input</x:v>
      </x:c>
      <x:c r="I36" s="24" t="str">
        <x:v>scaffold</x:v>
      </x:c>
      <x:c r="J36" s="24" t="str">
        <x:v>Controlled vocabulary.</x:v>
      </x:c>
    </x:row>
  </x:sheetData>
  <x:pageMargins left="0.7" right="0.7" top="0.75" bottom="0.75" header="0.3" footer="0.3"/>
  <x:tableParts count="1">
    <x:tablePart xmlns:r="http://schemas.openxmlformats.org/officeDocument/2006/relationships" r:id="R4f17882919ba4da6"/>
  </x:tableParts>
</x:worksheet>
</file>

<file path=xl/worksheets/sheet5.xml><?xml version="1.0" encoding="utf-8"?>
<x:worksheet xmlns:x="http://schemas.openxmlformats.org/spreadsheetml/2006/main">
  <x:sheetFormatPr defaultRowHeight="15"/>
  <x:cols>
    <x:col min="1" max="1" width="28" hidden="0" customWidth="1"/>
    <x:col min="2" max="2" width="20" hidden="0" customWidth="1"/>
    <x:col min="3" max="3" width="60" hidden="0" customWidth="1"/>
    <x:col min="4" max="4" width="50" hidden="0" customWidth="1"/>
    <x:col min="5" max="5" width="50" hidden="0" customWidth="1"/>
    <x:col min="6" max="6" width="48" hidden="0" customWidth="1"/>
  </x:cols>
  <x:sheetData>
    <x:row r="1" ht="30" customHeight="1">
      <x:c r="A1" s="46" t="str">
        <x:v>governed_by_doc</x:v>
      </x:c>
      <x:c r="B1" s="46" t="str">
        <x:v>decision_area</x:v>
      </x:c>
      <x:c r="C1" s="46" t="str">
        <x:v>load_bearing_rule</x:v>
      </x:c>
      <x:c r="D1" s="46" t="str">
        <x:v>workbook_fields_governed</x:v>
      </x:c>
      <x:c r="E1" s="46" t="str">
        <x:v>failure_if_ignored</x:v>
      </x:c>
      <x:c r="F1" s="46" t="str">
        <x:v>source_file</x:v>
      </x:c>
      <x:c r="G1" s="37"/>
      <x:c r="H1" s="37"/>
      <x:c r="I1" s="37"/>
      <x:c r="J1" s="37"/>
      <x:c r="K1" s="37"/>
      <x:c r="L1" s="37"/>
      <x:c r="M1" s="37"/>
      <x:c r="N1" s="37"/>
      <x:c r="O1" s="37"/>
      <x:c r="P1" s="37"/>
      <x:c r="Q1" s="37"/>
      <x:c r="R1" s="37"/>
      <x:c r="S1" s="37"/>
      <x:c r="T1" s="37"/>
      <x:c r="U1" s="37"/>
      <x:c r="V1" s="37"/>
      <x:c r="W1" s="37"/>
      <x:c r="X1" s="37"/>
      <x:c r="Y1" s="37"/>
      <x:c r="Z1" s="37"/>
    </x:row>
    <x:row r="2" ht="30" customHeight="1">
      <x:c r="A2" s="24" t="str">
        <x:v>00_assembled_curve_record</x:v>
      </x:c>
      <x:c r="B2" s="24" t="str">
        <x:v>Assembly/spec</x:v>
      </x:c>
      <x:c r="C2" s="24" t="str">
        <x:v>One deliverable assembled from six discussions; atom is one failure-unit curve record; cell is record collection plus sum.</x:v>
      </x:c>
      <x:c r="D2" s="24" t="str">
        <x:v>curve_record_id; cell_id; assembly_rule; governed_by_doc</x:v>
      </x:c>
      <x:c r="E2" s="24" t="str">
        <x:v>Workbook becomes unauditable collection of ad hoc rows.</x:v>
      </x:c>
      <x:c r="F2" s="24" t="str">
        <x:v>damage_curve_foundations/00_assembled_curve_record.md</x:v>
      </x:c>
    </x:row>
    <x:row r="3" ht="30" customHeight="1">
      <x:c r="A3" s="24" t="str">
        <x:v>01_granularity</x:v>
      </x:c>
      <x:c r="B3" s="24" t="str">
        <x:v>Grain</x:v>
      </x:c>
      <x:c r="C3" s="24" t="str">
        <x:v>Subsystem by default; go finer only where damage concentrates; no grouping primitive unless joint loss ≠ sum.</x:v>
      </x:c>
      <x:c r="D3" s="24" t="str">
        <x:v>failure_unit_id; subsystem; component; DR0 rows</x:v>
      </x:c>
      <x:c r="E3" s="24" t="str">
        <x:v>Overbuilding components or underbuilding concentrated failure mechanisms.</x:v>
      </x:c>
      <x:c r="F3" s="24" t="str">
        <x:v>damage_curve_foundations/questions/01_granularity.md</x:v>
      </x:c>
    </x:row>
    <x:row r="4" ht="30" customHeight="1">
      <x:c r="A4" s="24" t="str">
        <x:v>02_x_axis_intensity_variable</x:v>
      </x:c>
      <x:c r="B4" s="24" t="str">
        <x:v>X-axis</x:v>
      </x:c>
      <x:c r="C4" s="24" t="str">
        <x:v>v1 univariate by default; use composite or split before true 2-D; distinguish x-axis, conditioner, selector, and explicit bridge axes.</x:v>
      </x:c>
      <x:c r="D4" s="24" t="str">
        <x:v>x_axis_id; x_axis_unit; chain_node; conditioners; selectors; bridge_axis_id; curve_native_axis</x:v>
      </x:c>
      <x:c r="E4" s="24" t="str">
        <x:v>Dimensional explosion, wrong axis basis, or hidden diameter-to-energy assumptions.</x:v>
      </x:c>
      <x:c r="F4" s="24" t="str">
        <x:v>damage_curve_foundations/questions/02_x_axis_intensity_variable.md</x:v>
      </x:c>
    </x:row>
    <x:row r="5" ht="30" customHeight="1">
      <x:c r="A5" s="24" t="str">
        <x:v>03_valuation_guide</x:v>
      </x:c>
      <x:c r="B5" s="24" t="str">
        <x:v>Value/basis</x:v>
      </x:c>
      <x:c r="C5" s="24" t="str">
        <x:v>Basis required; physical replaceable base; f typed per hazard; exhaustive reconciliation.</x:v>
      </x:c>
      <x:c r="D5" s="24" t="str">
        <x:v>value_link_id; basis; value_share; at_risk_f; f_kind; cap_L</x:v>
      </x:c>
      <x:c r="E5" s="24" t="str">
        <x:v>Loss percentages scale wrong; double-counting or hidden soft costs.</x:v>
      </x:c>
      <x:c r="F5" s="24" t="str">
        <x:v>damage_curve_foundations/questions/03_valuation_guide.md</x:v>
      </x:c>
    </x:row>
    <x:row r="6" ht="30" customHeight="1">
      <x:c r="A6" s="24" t="str">
        <x:v>04_curation_derivation</x:v>
      </x:c>
      <x:c r="B6" s="24" t="str">
        <x:v>Curation</x:v>
      </x:c>
      <x:c r="C6" s="24" t="str">
        <x:v>Evidence hierarchy; standards are boundary conditions; curve form by parsimony; parameter-level provenance.</x:v>
      </x:c>
      <x:c r="D6" s="24" t="str">
        <x:v>curve_form; parameter_set_id; evidence_id; anchors; bridge</x:v>
      </x:c>
      <x:c r="E6" s="24" t="str">
        <x:v>False precision or unlabeled expert judgment.</x:v>
      </x:c>
      <x:c r="F6" s="24" t="str">
        <x:v>damage_curve_foundations/questions/04_curation_derivation.md</x:v>
      </x:c>
    </x:row>
    <x:row r="7" ht="30" customHeight="1">
      <x:c r="A7" s="24" t="str">
        <x:v>05_emit_object</x:v>
      </x:c>
      <x:c r="B7" s="24" t="str">
        <x:v>Emit</x:v>
      </x:c>
      <x:c r="C7" s="24" t="str">
        <x:v>Emit rung determined by first nonlinearity; scalar survives only linear path and cap rarely binds.</x:v>
      </x:c>
      <x:c r="D7" s="24" t="str">
        <x:v>emit_type; spread_available; cap_binding_risk</x:v>
      </x:c>
      <x:c r="E7" s="24" t="str">
        <x:v>Scalar mean silently breaks metrics after nonlinearities.</x:v>
      </x:c>
      <x:c r="F7" s="24" t="str">
        <x:v>damage_curve_foundations/questions/05_emit_object.md</x:v>
      </x:c>
    </x:row>
    <x:row r="8" ht="30" customHeight="1">
      <x:c r="A8" s="24" t="str">
        <x:v>06_metrics_and_tail_honesty</x:v>
      </x:c>
      <x:c r="B8" s="24" t="str">
        <x:v>Metrics</x:v>
      </x:c>
      <x:c r="C8" s="24" t="str">
        <x:v>EAL ships only where honest; tail metrics withheld under scalar, not caveated.</x:v>
      </x:c>
      <x:c r="D8" s="24" t="str">
        <x:v>EAL_status; tail_status; withheld_reason</x:v>
      </x:c>
      <x:c r="E8" s="24" t="str">
        <x:v>Misleading PML/VaR/TVaR or biased EAL.</x:v>
      </x:c>
      <x:c r="F8" s="24" t="str">
        <x:v>damage_curve_foundations/questions/06_metrics_and_tail_honesty.md</x:v>
      </x:c>
    </x:row>
    <x:row r="9" ht="30" customHeight="1">
      <x:c r="A9" s="24" t="str">
        <x:v>substrate_decomposition</x:v>
      </x:c>
      <x:c r="B9" s="24" t="str">
        <x:v>Vocabulary</x:v>
      </x:c>
      <x:c r="C9" s="24" t="str">
        <x:v>Use canonical plant/generator → subsystem → component vocabulary and parent scope.</x:v>
      </x:c>
      <x:c r="D9" s="24" t="str">
        <x:v>asset_scope; subsystem; component; parent_scope</x:v>
      </x:c>
      <x:c r="E9" s="24" t="str">
        <x:v>Value links cannot reconcile to runtime asset structure.</x:v>
      </x:c>
      <x:c r="F9" s="24" t="str">
        <x:v>substrate_decomposition.md</x:v>
      </x:c>
    </x:row>
  </x:sheetData>
  <x:pageMargins left="0.7" right="0.7" top="0.75" bottom="0.75" header="0.3" footer="0.3"/>
  <x:tableParts count="1">
    <x:tablePart xmlns:r="http://schemas.openxmlformats.org/officeDocument/2006/relationships" r:id="Rde0dc5b8d45e48eb"/>
  </x:tableParts>
</x:worksheet>
</file>

<file path=xl/worksheets/sheet6.xml><?xml version="1.0" encoding="utf-8"?>
<x:worksheet xmlns:x="http://schemas.openxmlformats.org/spreadsheetml/2006/main">
  <x:sheetFormatPr defaultRowHeight="15"/>
  <x:cols>
    <x:col min="1" max="1" width="32" hidden="0" customWidth="1"/>
    <x:col min="2" max="2" width="12" hidden="0" customWidth="1"/>
    <x:col min="3" max="3" width="22" hidden="0" customWidth="1"/>
    <x:col min="4" max="4" width="22" hidden="0" customWidth="1"/>
    <x:col min="5" max="5" width="30" hidden="0" customWidth="1"/>
    <x:col min="6" max="6" width="24" hidden="0" customWidth="1"/>
    <x:col min="7" max="7" width="32" hidden="0" customWidth="1"/>
    <x:col min="8" max="8" width="36" hidden="0" customWidth="1"/>
    <x:col min="9" max="9" width="14" hidden="0" customWidth="1"/>
    <x:col min="10" max="10" width="22" hidden="0" customWidth="1"/>
    <x:col min="11" max="11" width="18" hidden="0" customWidth="1"/>
    <x:col min="12" max="12" width="18" hidden="0" customWidth="1"/>
    <x:col min="13" max="13" width="12" hidden="0" customWidth="1"/>
    <x:col min="14" max="14" width="22" hidden="0" customWidth="1"/>
    <x:col min="15" max="15" width="18" hidden="0" customWidth="1"/>
    <x:col min="16" max="16" width="16" hidden="0" customWidth="1"/>
    <x:col min="17" max="17" width="16" hidden="0" customWidth="1"/>
    <x:col min="18" max="18" width="32" hidden="0" customWidth="1"/>
    <x:col min="19" max="19" width="42" hidden="0" customWidth="1"/>
    <x:col min="20" max="20" width="20" hidden="0" customWidth="1"/>
    <x:col min="21" max="21" width="60" hidden="0" customWidth="1"/>
  </x:cols>
  <x:sheetData>
    <x:row r="1" ht="30" customHeight="1">
      <x:c r="A1" s="40" t="str">
        <x:v>value_link_id</x:v>
      </x:c>
      <x:c r="B1" s="40" t="str">
        <x:v>tech</x:v>
      </x:c>
      <x:c r="C1" s="40" t="str">
        <x:v>asset_input_id</x:v>
      </x:c>
      <x:c r="D1" s="40" t="str">
        <x:v>cell_id</x:v>
      </x:c>
      <x:c r="E1" s="40" t="str">
        <x:v>failure_unit_id</x:v>
      </x:c>
      <x:c r="F1" s="40" t="str">
        <x:v>subsystem</x:v>
      </x:c>
      <x:c r="G1" s="40" t="str">
        <x:v>component</x:v>
      </x:c>
      <x:c r="H1" s="40" t="str">
        <x:v>value_bucket</x:v>
      </x:c>
      <x:c r="I1" s="40" t="str">
        <x:v>asset_scope</x:v>
      </x:c>
      <x:c r="J1" s="40" t="str">
        <x:v>basis</x:v>
      </x:c>
      <x:c r="K1" s="40" t="str">
        <x:v>physical_base_usd</x:v>
      </x:c>
      <x:c r="L1" s="40" t="str">
        <x:v>value_share_physical_base</x:v>
      </x:c>
      <x:c r="M1" s="40" t="str">
        <x:v>at_risk_f</x:v>
      </x:c>
      <x:c r="N1" s="40" t="str">
        <x:v>f_kind</x:v>
      </x:c>
      <x:c r="O1" s="40" t="str">
        <x:v>exposure_fraction_default</x:v>
      </x:c>
      <x:c r="P1" s="40" t="str">
        <x:v>cap_L_usd</x:v>
      </x:c>
      <x:c r="Q1" s="40" t="str">
        <x:v>cap_L_asset_pct</x:v>
      </x:c>
      <x:c r="R1" s="40" t="str">
        <x:v>valuation_source_artifact</x:v>
      </x:c>
      <x:c r="S1" s="40" t="str">
        <x:v>source_url</x:v>
      </x:c>
      <x:c r="T1" s="40" t="str">
        <x:v>status</x:v>
      </x:c>
      <x:c r="U1" s="40" t="str">
        <x:v>notes</x:v>
      </x:c>
      <x:c r="V1" s="37"/>
      <x:c r="W1" s="37"/>
      <x:c r="X1" s="37"/>
      <x:c r="Y1" s="37"/>
      <x:c r="Z1" s="37"/>
    </x:row>
    <x:row r="2" ht="30" customHeight="1">
      <x:c r="A2" s="24" t="str">
        <x:v>VL_HAIL_SOLAR_MODULE_GLASS</x:v>
      </x:c>
      <x:c r="B2" s="24" t="str">
        <x:v>solar</x:v>
      </x:c>
      <x:c r="C2" s="24" t="str">
        <x:v>ASSET_SOLAR_100MWDC</x:v>
      </x:c>
      <x:c r="D2" s="24" t="str">
        <x:v>HAIL_SOLAR</x:v>
      </x:c>
      <x:c r="E2" s="24" t="str">
        <x:v>PV_MODULE_GLASS_CELL</x:v>
      </x:c>
      <x:c r="F2" s="24" t="str">
        <x:v>PV_ARRAY</x:v>
      </x:c>
      <x:c r="G2" s="24" t="str">
        <x:v>PV_MODULE</x:v>
      </x:c>
      <x:c r="H2" s="24" t="str">
        <x:v>PV module glass/cell exposed value</x:v>
      </x:c>
      <x:c r="I2" s="24" t="str">
        <x:v>generator</x:v>
      </x:c>
      <x:c r="J2" s="24" t="str">
        <x:v>physical_replaceable</x:v>
      </x:c>
      <x:c r="K2" s="32" t="n">
        <x:v>87779570.23626667</x:v>
      </x:c>
      <x:c r="L2" s="33" t="n">
        <x:v>0.3317569801903719</x:v>
      </x:c>
      <x:c r="M2" s="33" t="n">
        <x:v>0.8</x:v>
      </x:c>
      <x:c r="N2" s="33" t="str">
        <x:v>material_share</x:v>
      </x:c>
      <x:c r="O2" s="33" t="n">
        <x:v>1</x:v>
      </x:c>
      <x:c r="P2" s="32" t="n">
        <x:f>K2*L2*M2*O2</x:f>
        <x:v>23297188.11519399</x:v>
      </x:c>
      <x:c r="Q2" s="33" t="n">
        <x:f>L2*M2*O2</x:f>
        <x:v>0.26540558415229754</x:v>
      </x:c>
      <x:c r="R2" s="24" t="str">
        <x:v>solar_wind_value_breakdown.xlsx</x:v>
      </x:c>
      <x:c r="S2" s="24" t="str">
        <x:v>https://data.nlr.gov/system/files/304/1767739491-UPV%202025Q1.txt</x:v>
      </x:c>
      <x:c r="T2" s="24" t="str">
        <x:v>placeholder_f</x:v>
      </x:c>
      <x:c r="U2" s="24" t="str">
        <x:v>Module-BOM f placeholder; source required before final.</x:v>
      </x:c>
    </x:row>
    <x:row r="3" ht="30" customHeight="1">
      <x:c r="A3" s="24" t="str">
        <x:v>VL_HAIL_SOLAR_TRACKER_MOUNTING</x:v>
      </x:c>
      <x:c r="B3" s="24" t="str">
        <x:v>solar</x:v>
      </x:c>
      <x:c r="C3" s="24" t="str">
        <x:v>ASSET_SOLAR_100MWDC</x:v>
      </x:c>
      <x:c r="D3" s="24" t="str">
        <x:v>HAIL_SOLAR</x:v>
      </x:c>
      <x:c r="E3" s="24" t="str">
        <x:v>TRACKER_RACKING_STOW_DAMAGE</x:v>
      </x:c>
      <x:c r="F3" s="24" t="str">
        <x:v>MOUNTING</x:v>
      </x:c>
      <x:c r="G3" s="24" t="str">
        <x:v>TRACKER + RACKING_STRUCTURE</x:v>
      </x:c>
      <x:c r="H3" s="24" t="str">
        <x:v>Tracker/racking exposed value</x:v>
      </x:c>
      <x:c r="I3" s="24" t="str">
        <x:v>generator</x:v>
      </x:c>
      <x:c r="J3" s="24" t="str">
        <x:v>physical_replaceable</x:v>
      </x:c>
      <x:c r="K3" s="32" t="n">
        <x:v>87779570.23626667</x:v>
      </x:c>
      <x:c r="L3" s="33" t="n">
        <x:v>0.17460064821189467</x:v>
      </x:c>
      <x:c r="M3" s="33" t="n">
        <x:v>0.5</x:v>
      </x:c>
      <x:c r="N3" s="33" t="str">
        <x:v>component_exposure_placeholder</x:v>
      </x:c>
      <x:c r="O3" s="33" t="n">
        <x:v>1</x:v>
      </x:c>
      <x:c r="P3" s="32" t="n">
        <x:f>K3*L3*M3*O3</x:f>
        <x:v>7663184.931506848</x:v>
      </x:c>
      <x:c r="Q3" s="33" t="n">
        <x:f>L3*M3*O3</x:f>
        <x:v>0.08730032410594733</x:v>
      </x:c>
      <x:c r="R3" s="24" t="str">
        <x:v>solar_wind_value_breakdown.xlsx</x:v>
      </x:c>
      <x:c r="S3" s="24" t="str">
        <x:v>https://data.nlr.gov/system/files/304/1767739491-UPV%202025Q1.txt</x:v>
      </x:c>
      <x:c r="T3" s="24" t="str">
        <x:v>placeholder_f</x:v>
      </x:c>
      <x:c r="U3" s="24" t="str">
        <x:v>Only if evidence supports hail damage to mounting/tracker; may be DR≈0 in final.</x:v>
      </x:c>
    </x:row>
    <x:row r="4" ht="30" customHeight="1">
      <x:c r="A4" s="24" t="str">
        <x:v>VL_HAIL_SOLAR_DR0_NONPHYSICAL</x:v>
      </x:c>
      <x:c r="B4" s="24" t="str">
        <x:v>solar</x:v>
      </x:c>
      <x:c r="C4" s="24" t="str">
        <x:v>ASSET_SOLAR_100MWDC</x:v>
      </x:c>
      <x:c r="D4" s="24" t="str">
        <x:v>HAIL_SOLAR</x:v>
      </x:c>
      <x:c r="E4" s="24" t="str">
        <x:v>SUNK_SOFT_DR0</x:v>
      </x:c>
      <x:c r="F4" s="24" t="str">
        <x:v>SUNK_SOFT_NONPHYSICAL</x:v>
      </x:c>
      <x:c r="G4" s="24" t="str">
        <x:v>OFFICEWORK + OTHER</x:v>
      </x:c>
      <x:c r="H4" s="24" t="str">
        <x:v>Sunk/soft/nonphysical DR≈0</x:v>
      </x:c>
      <x:c r="I4" s="24" t="str">
        <x:v>cost_basis</x:v>
      </x:c>
      <x:c r="J4" s="24" t="str">
        <x:v>installed_capex_excluded</x:v>
      </x:c>
      <x:c r="K4" s="32" t="n">
        <x:v>87779570.23626667</x:v>
      </x:c>
      <x:c r="L4" s="33" t="n">
        <x:v>0</x:v>
      </x:c>
      <x:c r="M4" s="33" t="n">
        <x:v>0</x:v>
      </x:c>
      <x:c r="N4" s="33" t="str">
        <x:v>n/a</x:v>
      </x:c>
      <x:c r="O4" s="33" t="n">
        <x:v>0</x:v>
      </x:c>
      <x:c r="P4" s="32" t="n">
        <x:f>K4*L4*M4*O4</x:f>
        <x:v>0</x:v>
      </x:c>
      <x:c r="Q4" s="33" t="n">
        <x:f>L4*M4*O4</x:f>
        <x:v>0</x:v>
      </x:c>
      <x:c r="R4" s="24" t="str">
        <x:v>solar_wind_value_breakdown.xlsx</x:v>
      </x:c>
      <x:c r="S4" s="24" t="str">
        <x:v>https://data.nlr.gov/system/files/304/1767739491-UPV%202025Q1.txt</x:v>
      </x:c>
      <x:c r="T4" s="24" t="str">
        <x:v>scaffold</x:v>
      </x:c>
      <x:c r="U4" s="24" t="str">
        <x:v>Kept for reconciliation narrative; not in physical base.</x:v>
      </x:c>
    </x:row>
    <x:row r="5" ht="30" customHeight="1">
      <x:c r="A5" s="24" t="str">
        <x:v>VL_FLOOD_SOLAR_INVERTER</x:v>
      </x:c>
      <x:c r="B5" s="24" t="str">
        <x:v>solar</x:v>
      </x:c>
      <x:c r="C5" s="24" t="str">
        <x:v>ASSET_SOLAR_100MWDC</x:v>
      </x:c>
      <x:c r="D5" s="24" t="str">
        <x:v>FLOOD_SOLAR</x:v>
      </x:c>
      <x:c r="E5" s="24" t="str">
        <x:v>INVERTER_INGRESS</x:v>
      </x:c>
      <x:c r="F5" s="24" t="str">
        <x:v>INVERTER_SYSTEM</x:v>
      </x:c>
      <x:c r="G5" s="24" t="str">
        <x:v>INVERTER</x:v>
      </x:c>
      <x:c r="H5" s="24" t="str">
        <x:v>Inverter/cabinet water ingress</x:v>
      </x:c>
      <x:c r="I5" s="24" t="str">
        <x:v>generator</x:v>
      </x:c>
      <x:c r="J5" s="24" t="str">
        <x:v>physical_replaceable</x:v>
      </x:c>
      <x:c r="K5" s="32" t="n">
        <x:v>87779570.23626667</x:v>
      </x:c>
      <x:c r="L5" s="33" t="n">
        <x:v>0.044580551380057336</x:v>
      </x:c>
      <x:c r="M5" s="33" t="n">
        <x:v>1</x:v>
      </x:c>
      <x:c r="N5" s="33" t="str">
        <x:v>site_geometry</x:v>
      </x:c>
      <x:c r="O5" s="33" t="n">
        <x:v>0.5</x:v>
      </x:c>
      <x:c r="P5" s="32" t="n">
        <x:f>K5*L5*M5*O5</x:f>
        <x:v>1956630.820518619</x:v>
      </x:c>
      <x:c r="Q5" s="33" t="n">
        <x:f>L5*M5*O5</x:f>
        <x:v>0.022290275690028668</x:v>
      </x:c>
      <x:c r="R5" s="24" t="str">
        <x:v>solar_wind_value_breakdown.xlsx</x:v>
      </x:c>
      <x:c r="S5" s="24" t="str">
        <x:v>https://data.nlr.gov/system/files/304/1767739491-UPV%202025Q1.txt</x:v>
      </x:c>
      <x:c r="T5" s="24" t="str">
        <x:v>placeholder_geometry</x:v>
      </x:c>
      <x:c r="U5" s="24" t="str">
        <x:v>Exposure fraction is equipment-elevation assumption; site-specific override expected.</x:v>
      </x:c>
    </x:row>
    <x:row r="6" ht="30" customHeight="1">
      <x:c r="A6" s="24" t="str">
        <x:v>VL_FLOOD_SOLAR_SUBSTATION</x:v>
      </x:c>
      <x:c r="B6" s="24" t="str">
        <x:v>solar</x:v>
      </x:c>
      <x:c r="C6" s="24" t="str">
        <x:v>ASSET_SOLAR_100MWDC</x:v>
      </x:c>
      <x:c r="D6" s="24" t="str">
        <x:v>FLOOD_SOLAR</x:v>
      </x:c>
      <x:c r="E6" s="24" t="str">
        <x:v>SUBSTATION_INGRESS</x:v>
      </x:c>
      <x:c r="F6" s="24" t="str">
        <x:v>SUBSTATION</x:v>
      </x:c>
      <x:c r="G6" s="24" t="str">
        <x:v>TRANSFORMER_MAIN + SWITCHGEAR</x:v>
      </x:c>
      <x:c r="H6" s="24" t="str">
        <x:v>Substation water ingress</x:v>
      </x:c>
      <x:c r="I6" s="24" t="str">
        <x:v>plant</x:v>
      </x:c>
      <x:c r="J6" s="24" t="str">
        <x:v>physical_replaceable</x:v>
      </x:c>
      <x:c r="K6" s="32" t="n">
        <x:v>87779570.23626667</x:v>
      </x:c>
      <x:c r="L6" s="33" t="n">
        <x:v>0.12133194989726824</x:v>
      </x:c>
      <x:c r="M6" s="33" t="n">
        <x:v>1</x:v>
      </x:c>
      <x:c r="N6" s="33" t="str">
        <x:v>site_geometry</x:v>
      </x:c>
      <x:c r="O6" s="33" t="n">
        <x:v>0.5</x:v>
      </x:c>
      <x:c r="P6" s="32" t="n">
        <x:f>K6*L6*M6*O6</x:f>
        <x:v>5325233.208955223</x:v>
      </x:c>
      <x:c r="Q6" s="33" t="n">
        <x:f>L6*M6*O6</x:f>
        <x:v>0.06066597494863412</x:v>
      </x:c>
      <x:c r="R6" s="24" t="str">
        <x:v>solar_wind_value_breakdown.xlsx</x:v>
      </x:c>
      <x:c r="S6" s="24" t="str">
        <x:v>https://data.nlr.gov/system/files/304/1767739491-UPV%202025Q1.txt</x:v>
      </x:c>
      <x:c r="T6" s="24" t="str">
        <x:v>placeholder_geometry</x:v>
      </x:c>
      <x:c r="U6" s="24" t="str">
        <x:v>Exposure depends on transformer/switchgear pad elevations.</x:v>
      </x:c>
    </x:row>
    <x:row r="7" ht="30" customHeight="1">
      <x:c r="A7" s="24" t="str">
        <x:v>VL_FLOOD_SOLAR_COLLECTION</x:v>
      </x:c>
      <x:c r="B7" s="24" t="str">
        <x:v>solar</x:v>
      </x:c>
      <x:c r="C7" s="24" t="str">
        <x:v>ASSET_SOLAR_100MWDC</x:v>
      </x:c>
      <x:c r="D7" s="24" t="str">
        <x:v>FLOOD_SOLAR</x:v>
      </x:c>
      <x:c r="E7" s="24" t="str">
        <x:v>COLLECTION_CABLE_TRENCH</x:v>
      </x:c>
      <x:c r="F7" s="24" t="str">
        <x:v>ELECTRICAL_COLLECTION</x:v>
      </x:c>
      <x:c r="G7" s="24" t="str">
        <x:v>CABLE_AC + CABLE_DC</x:v>
      </x:c>
      <x:c r="H7" s="24" t="str">
        <x:v>Collection trench/cable water/debris damage</x:v>
      </x:c>
      <x:c r="I7" s="24" t="str">
        <x:v>plant</x:v>
      </x:c>
      <x:c r="J7" s="24" t="str">
        <x:v>physical_replaceable</x:v>
      </x:c>
      <x:c r="K7" s="32" t="n">
        <x:v>87779570.23626667</x:v>
      </x:c>
      <x:c r="L7" s="33" t="n">
        <x:v>0.12391023656366708</x:v>
      </x:c>
      <x:c r="M7" s="33" t="n">
        <x:v>0.6</x:v>
      </x:c>
      <x:c r="N7" s="33" t="str">
        <x:v>site_geometry</x:v>
      </x:c>
      <x:c r="O7" s="33" t="n">
        <x:v>0.5</x:v>
      </x:c>
      <x:c r="P7" s="32" t="n">
        <x:f>K7*L7*M7*O7</x:f>
        <x:v>3263036.19402985</x:v>
      </x:c>
      <x:c r="Q7" s="33" t="n">
        <x:f>L7*M7*O7</x:f>
        <x:v>0.03717307096910012</x:v>
      </x:c>
      <x:c r="R7" s="24" t="str">
        <x:v>solar_wind_value_breakdown.xlsx</x:v>
      </x:c>
      <x:c r="S7" s="24" t="str">
        <x:v>https://data.nlr.gov/system/files/304/1767739491-UPV%202025Q1.txt</x:v>
      </x:c>
      <x:c r="T7" s="24" t="str">
        <x:v>placeholder_geometry</x:v>
      </x:c>
      <x:c r="U7" s="24" t="str">
        <x:v>Cable/conduit exposure depends on trenching and drainage.</x:v>
      </x:c>
    </x:row>
    <x:row r="8" ht="30" customHeight="1">
      <x:c r="A8" s="24" t="str">
        <x:v>VL_FLOOD_SOLAR_FOUNDATION_SCOUR</x:v>
      </x:c>
      <x:c r="B8" s="24" t="str">
        <x:v>solar</x:v>
      </x:c>
      <x:c r="C8" s="24" t="str">
        <x:v>ASSET_SOLAR_100MWDC</x:v>
      </x:c>
      <x:c r="D8" s="24" t="str">
        <x:v>FLOOD_SOLAR</x:v>
      </x:c>
      <x:c r="E8" s="24" t="str">
        <x:v>FOUNDATION_SCOUR</x:v>
      </x:c>
      <x:c r="F8" s="24" t="str">
        <x:v>FOUNDATION</x:v>
      </x:c>
      <x:c r="G8" s="24" t="str">
        <x:v>FOUNDATION_BASE</x:v>
      </x:c>
      <x:c r="H8" s="24" t="str">
        <x:v>Foundation/pile scour</x:v>
      </x:c>
      <x:c r="I8" s="24" t="str">
        <x:v>plant/generator</x:v>
      </x:c>
      <x:c r="J8" s="24" t="str">
        <x:v>physical_replaceable</x:v>
      </x:c>
      <x:c r="K8" s="32" t="n">
        <x:v>87779570.23626667</x:v>
      </x:c>
      <x:c r="L8" s="33" t="n">
        <x:v>0.03545755244585994</x:v>
      </x:c>
      <x:c r="M8" s="33" t="n">
        <x:v>1</x:v>
      </x:c>
      <x:c r="N8" s="33" t="str">
        <x:v>site_geometry</x:v>
      </x:c>
      <x:c r="O8" s="33" t="n">
        <x:v>0.5</x:v>
      </x:c>
      <x:c r="P8" s="32" t="n">
        <x:f>K8*L8*M8*O8</x:f>
        <x:v>1556224.357663736</x:v>
      </x:c>
      <x:c r="Q8" s="33" t="n">
        <x:f>L8*M8*O8</x:f>
        <x:v>0.01772877622292997</x:v>
      </x:c>
      <x:c r="R8" s="24" t="str">
        <x:v>solar_wind_value_breakdown.xlsx</x:v>
      </x:c>
      <x:c r="S8" s="24" t="str">
        <x:v>https://data.nlr.gov/system/files/304/1767739491-UPV%202025Q1.txt</x:v>
      </x:c>
      <x:c r="T8" s="24" t="str">
        <x:v>placeholder_geometry</x:v>
      </x:c>
      <x:c r="U8" s="24" t="str">
        <x:v>Velocity/scour axis likely separate from depth.</x:v>
      </x:c>
    </x:row>
    <x:row r="9" ht="30" customHeight="1">
      <x:c r="A9" s="24" t="str">
        <x:v>VL_WIND_TORNADO_BLADE</x:v>
      </x:c>
      <x:c r="B9" s="24" t="str">
        <x:v>wind</x:v>
      </x:c>
      <x:c r="C9" s="24" t="str">
        <x:v>ASSET_WIND_200MW</x:v>
      </x:c>
      <x:c r="D9" s="24" t="str">
        <x:v>WIND_TORNADO_WIND</x:v>
      </x:c>
      <x:c r="E9" s="24" t="str">
        <x:v>BLADE_STRUCTURAL</x:v>
      </x:c>
      <x:c r="F9" s="24" t="str">
        <x:v>ROTOR_ASSEMBLY</x:v>
      </x:c>
      <x:c r="G9" s="24" t="str">
        <x:v>BLADE</x:v>
      </x:c>
      <x:c r="H9" s="24" t="str">
        <x:v>Blade structural value</x:v>
      </x:c>
      <x:c r="I9" s="24" t="str">
        <x:v>generator</x:v>
      </x:c>
      <x:c r="J9" s="24" t="str">
        <x:v>physical_replaceable</x:v>
      </x:c>
      <x:c r="K9" s="32" t="n">
        <x:v>324600000</x:v>
      </x:c>
      <x:c r="L9" s="33" t="n">
        <x:v>0.17375231053604437</x:v>
      </x:c>
      <x:c r="M9" s="33" t="n">
        <x:v>1</x:v>
      </x:c>
      <x:c r="N9" s="33" t="str">
        <x:v>n/a</x:v>
      </x:c>
      <x:c r="O9" s="33" t="n">
        <x:v>1</x:v>
      </x:c>
      <x:c r="P9" s="32" t="n">
        <x:f>K9*L9*M9*O9</x:f>
        <x:v>56400000</x:v>
      </x:c>
      <x:c r="Q9" s="33" t="n">
        <x:f>L9*M9*O9</x:f>
        <x:v>0.17375231053604437</x:v>
      </x:c>
      <x:c r="R9" s="24" t="str">
        <x:v>solar_wind_value_breakdown.xlsx</x:v>
      </x:c>
      <x:c r="S9" s="24" t="str">
        <x:v>https://www.nrel.gov/docs/fy25osti/91775.pdf</x:v>
      </x:c>
      <x:c r="T9" s="24" t="str">
        <x:v>scaffold</x:v>
      </x:c>
      <x:c r="U9" s="24" t="str">
        <x:v>Direct value row from wind valuation workbook.</x:v>
      </x:c>
    </x:row>
    <x:row r="10" ht="30" customHeight="1">
      <x:c r="A10" s="24" t="str">
        <x:v>VL_WIND_TORNADO_TOWER</x:v>
      </x:c>
      <x:c r="B10" s="24" t="str">
        <x:v>wind</x:v>
      </x:c>
      <x:c r="C10" s="24" t="str">
        <x:v>ASSET_WIND_200MW</x:v>
      </x:c>
      <x:c r="D10" s="24" t="str">
        <x:v>WIND_TORNADO_WIND</x:v>
      </x:c>
      <x:c r="E10" s="24" t="str">
        <x:v>TOWER_STRUCTURAL</x:v>
      </x:c>
      <x:c r="F10" s="24" t="str">
        <x:v>TOWER</x:v>
      </x:c>
      <x:c r="G10" s="24" t="str">
        <x:v>TOWER_SECTION</x:v>
      </x:c>
      <x:c r="H10" s="24" t="str">
        <x:v>Tower structural value</x:v>
      </x:c>
      <x:c r="I10" s="24" t="str">
        <x:v>generator</x:v>
      </x:c>
      <x:c r="J10" s="24" t="str">
        <x:v>physical_replaceable</x:v>
      </x:c>
      <x:c r="K10" s="32" t="n">
        <x:v>324600000</x:v>
      </x:c>
      <x:c r="L10" s="33" t="n">
        <x:v>0.17005545286506468</x:v>
      </x:c>
      <x:c r="M10" s="33" t="n">
        <x:v>1</x:v>
      </x:c>
      <x:c r="N10" s="33" t="str">
        <x:v>n/a</x:v>
      </x:c>
      <x:c r="O10" s="33" t="n">
        <x:v>1</x:v>
      </x:c>
      <x:c r="P10" s="32" t="n">
        <x:f>K10*L10*M10*O10</x:f>
        <x:v>55199999.99999999</x:v>
      </x:c>
      <x:c r="Q10" s="33" t="n">
        <x:f>L10*M10*O10</x:f>
        <x:v>0.17005545286506468</x:v>
      </x:c>
      <x:c r="R10" s="24" t="str">
        <x:v>solar_wind_value_breakdown.xlsx</x:v>
      </x:c>
      <x:c r="S10" s="24" t="str">
        <x:v>https://www.nrel.gov/docs/fy25osti/91775.pdf</x:v>
      </x:c>
      <x:c r="T10" s="24" t="str">
        <x:v>scaffold</x:v>
      </x:c>
      <x:c r="U10" s="24" t="str">
        <x:v>Direct value row from wind valuation workbook.</x:v>
      </x:c>
    </x:row>
    <x:row r="11" ht="30" customHeight="1">
      <x:c r="A11" s="24" t="str">
        <x:v>VL_WIND_TORNADO_NACELLE</x:v>
      </x:c>
      <x:c r="B11" s="24" t="str">
        <x:v>wind</x:v>
      </x:c>
      <x:c r="C11" s="24" t="str">
        <x:v>ASSET_WIND_200MW</x:v>
      </x:c>
      <x:c r="D11" s="24" t="str">
        <x:v>WIND_TORNADO_WIND</x:v>
      </x:c>
      <x:c r="E11" s="24" t="str">
        <x:v>NACELLE_STRUCTURAL</x:v>
      </x:c>
      <x:c r="F11" s="24" t="str">
        <x:v>NACELLE</x:v>
      </x:c>
      <x:c r="G11" s="24" t="str">
        <x:v>NACELLE_STRUCTURE + DRIVETRAIN + YAW</x:v>
      </x:c>
      <x:c r="H11" s="24" t="str">
        <x:v>Nacelle/drivetrain/yaw structural value</x:v>
      </x:c>
      <x:c r="I11" s="24" t="str">
        <x:v>generator</x:v>
      </x:c>
      <x:c r="J11" s="24" t="str">
        <x:v>physical_replaceable</x:v>
      </x:c>
      <x:c r="K11" s="32" t="n">
        <x:v>324600000</x:v>
      </x:c>
      <x:c r="L11" s="33" t="n">
        <x:v>0.20948860135551448</x:v>
      </x:c>
      <x:c r="M11" s="33" t="n">
        <x:v>1</x:v>
      </x:c>
      <x:c r="N11" s="33" t="str">
        <x:v>n/a</x:v>
      </x:c>
      <x:c r="O11" s="33" t="n">
        <x:v>1</x:v>
      </x:c>
      <x:c r="P11" s="32" t="n">
        <x:f>K11*L11*M11*O11</x:f>
        <x:v>68000000</x:v>
      </x:c>
      <x:c r="Q11" s="33" t="n">
        <x:f>L11*M11*O11</x:f>
        <x:v>0.20948860135551448</x:v>
      </x:c>
      <x:c r="R11" s="24" t="str">
        <x:v>solar_wind_value_breakdown.xlsx</x:v>
      </x:c>
      <x:c r="S11" s="24" t="str">
        <x:v>https://www.nrel.gov/docs/fy25osti/91775.pdf</x:v>
      </x:c>
      <x:c r="T11" s="24" t="str">
        <x:v>scaffold</x:v>
      </x:c>
      <x:c r="U11" s="24" t="str">
        <x:v>Rollup value; split later only if mechanism requires.</x:v>
      </x:c>
    </x:row>
    <x:row r="12" ht="30" customHeight="1">
      <x:c r="A12" s="24" t="str">
        <x:v>VL_WIND_TORNADO_FOUNDATION</x:v>
      </x:c>
      <x:c r="B12" s="24" t="str">
        <x:v>wind</x:v>
      </x:c>
      <x:c r="C12" s="24" t="str">
        <x:v>ASSET_WIND_200MW</x:v>
      </x:c>
      <x:c r="D12" s="24" t="str">
        <x:v>WIND_TORNADO_WIND</x:v>
      </x:c>
      <x:c r="E12" s="24" t="str">
        <x:v>FOUNDATION_OVERTURNING</x:v>
      </x:c>
      <x:c r="F12" s="24" t="str">
        <x:v>FOUNDATION</x:v>
      </x:c>
      <x:c r="G12" s="24" t="str">
        <x:v>FOUNDATION_BASE</x:v>
      </x:c>
      <x:c r="H12" s="24" t="str">
        <x:v>Foundation/anchorage value</x:v>
      </x:c>
      <x:c r="I12" s="24" t="str">
        <x:v>plant</x:v>
      </x:c>
      <x:c r="J12" s="24" t="str">
        <x:v>physical_replaceable</x:v>
      </x:c>
      <x:c r="K12" s="32" t="n">
        <x:v>324600000</x:v>
      </x:c>
      <x:c r="L12" s="33" t="n">
        <x:v>0.07393715341959335</x:v>
      </x:c>
      <x:c r="M12" s="33" t="n">
        <x:v>1</x:v>
      </x:c>
      <x:c r="N12" s="33" t="str">
        <x:v>n/a</x:v>
      </x:c>
      <x:c r="O12" s="33" t="n">
        <x:v>1</x:v>
      </x:c>
      <x:c r="P12" s="32" t="n">
        <x:f>K12*L12*M12*O12</x:f>
        <x:v>24000000.000000004</x:v>
      </x:c>
      <x:c r="Q12" s="33" t="n">
        <x:f>L12*M12*O12</x:f>
        <x:v>0.07393715341959335</x:v>
      </x:c>
      <x:c r="R12" s="24" t="str">
        <x:v>solar_wind_value_breakdown.xlsx</x:v>
      </x:c>
      <x:c r="S12" s="24" t="str">
        <x:v>https://www.nrel.gov/docs/fy25osti/91775.pdf</x:v>
      </x:c>
      <x:c r="T12" s="24" t="str">
        <x:v>scaffold</x:v>
      </x:c>
      <x:c r="U12" s="24" t="str">
        <x:v>May couple with tower overturning; avoid double-counting.</x:v>
      </x:c>
    </x:row>
    <x:row r="13" ht="30" customHeight="1">
      <x:c r="A13" s="24" t="str">
        <x:v>VL_WILDFIRE_SOLAR_MODULE</x:v>
      </x:c>
      <x:c r="B13" s="24" t="str">
        <x:v>solar</x:v>
      </x:c>
      <x:c r="C13" s="24" t="str">
        <x:v>ASSET_SOLAR_100MWDC</x:v>
      </x:c>
      <x:c r="D13" s="24" t="str">
        <x:v>WILDFIRE_SOLAR</x:v>
      </x:c>
      <x:c r="E13" s="24" t="str">
        <x:v>PV_MODULE_THERMAL</x:v>
      </x:c>
      <x:c r="F13" s="24" t="str">
        <x:v>PV_ARRAY</x:v>
      </x:c>
      <x:c r="G13" s="24" t="str">
        <x:v>PV_MODULE</x:v>
      </x:c>
      <x:c r="H13" s="24" t="str">
        <x:v>Module thermal exposure value</x:v>
      </x:c>
      <x:c r="I13" s="24" t="str">
        <x:v>generator</x:v>
      </x:c>
      <x:c r="J13" s="24" t="str">
        <x:v>physical_replaceable</x:v>
      </x:c>
      <x:c r="K13" s="32" t="n">
        <x:v>87779570.23626667</x:v>
      </x:c>
      <x:c r="L13" s="33" t="n">
        <x:v>0.3317569801903719</x:v>
      </x:c>
      <x:c r="M13" s="33" t="n">
        <x:v>0.3</x:v>
      </x:c>
      <x:c r="N13" s="33" t="str">
        <x:v>thermal_exposure_placeholder</x:v>
      </x:c>
      <x:c r="O13" s="33" t="n">
        <x:v>1</x:v>
      </x:c>
      <x:c r="P13" s="32" t="n">
        <x:f>K13*L13*M13*O13</x:f>
        <x:v>8736445.543197745</x:v>
      </x:c>
      <x:c r="Q13" s="33" t="n">
        <x:f>L13*M13*O13</x:f>
        <x:v>0.09952709405711158</x:v>
      </x:c>
      <x:c r="R13" s="24" t="str">
        <x:v>solar_wind_value_breakdown.xlsx</x:v>
      </x:c>
      <x:c r="S13" s="24" t="str">
        <x:v>https://data.nlr.gov/system/files/304/1767739491-UPV%202025Q1.txt</x:v>
      </x:c>
      <x:c r="T13" s="24" t="str">
        <x:v>placeholder_f</x:v>
      </x:c>
      <x:c r="U13" s="24" t="str">
        <x:v>Thermal exposed fraction depends on fireline intensity and residence time.</x:v>
      </x:c>
    </x:row>
    <x:row r="14" ht="30" customHeight="1">
      <x:c r="A14" s="24" t="str">
        <x:v>VL_WILDFIRE_SOLAR_INVERTER</x:v>
      </x:c>
      <x:c r="B14" s="24" t="str">
        <x:v>solar</x:v>
      </x:c>
      <x:c r="C14" s="24" t="str">
        <x:v>ASSET_SOLAR_100MWDC</x:v>
      </x:c>
      <x:c r="D14" s="24" t="str">
        <x:v>WILDFIRE_SOLAR</x:v>
      </x:c>
      <x:c r="E14" s="24" t="str">
        <x:v>INVERTER_CABINET_THERMAL</x:v>
      </x:c>
      <x:c r="F14" s="24" t="str">
        <x:v>INVERTER_SYSTEM</x:v>
      </x:c>
      <x:c r="G14" s="24" t="str">
        <x:v>INVERTER</x:v>
      </x:c>
      <x:c r="H14" s="24" t="str">
        <x:v>Inverter/cabinet thermal value</x:v>
      </x:c>
      <x:c r="I14" s="24" t="str">
        <x:v>generator</x:v>
      </x:c>
      <x:c r="J14" s="24" t="str">
        <x:v>physical_replaceable</x:v>
      </x:c>
      <x:c r="K14" s="32" t="n">
        <x:v>87779570.23626667</x:v>
      </x:c>
      <x:c r="L14" s="33" t="n">
        <x:v>0.044580551380057336</x:v>
      </x:c>
      <x:c r="M14" s="33" t="n">
        <x:v>1</x:v>
      </x:c>
      <x:c r="N14" s="33" t="str">
        <x:v>n/a</x:v>
      </x:c>
      <x:c r="O14" s="33" t="n">
        <x:v>1</x:v>
      </x:c>
      <x:c r="P14" s="32" t="n">
        <x:f>K14*L14*M14*O14</x:f>
        <x:v>3913261.641037238</x:v>
      </x:c>
      <x:c r="Q14" s="33" t="n">
        <x:f>L14*M14*O14</x:f>
        <x:v>0.044580551380057336</x:v>
      </x:c>
      <x:c r="R14" s="24" t="str">
        <x:v>solar_wind_value_breakdown.xlsx</x:v>
      </x:c>
      <x:c r="S14" s="24" t="str">
        <x:v>https://data.nlr.gov/system/files/304/1767739491-UPV%202025Q1.txt</x:v>
      </x:c>
      <x:c r="T14" s="24" t="str">
        <x:v>scaffold</x:v>
      </x:c>
      <x:c r="U14" s="24" t="str">
        <x:v>Direct thermal damage row; residence time deferred.</x:v>
      </x:c>
    </x:row>
    <x:row r="15" ht="30" customHeight="1">
      <x:c r="A15" s="24" t="str">
        <x:v>VL_WILDFIRE_SOLAR_COLLECTION</x:v>
      </x:c>
      <x:c r="B15" s="24" t="str">
        <x:v>solar</x:v>
      </x:c>
      <x:c r="C15" s="24" t="str">
        <x:v>ASSET_SOLAR_100MWDC</x:v>
      </x:c>
      <x:c r="D15" s="24" t="str">
        <x:v>WILDFIRE_SOLAR</x:v>
      </x:c>
      <x:c r="E15" s="24" t="str">
        <x:v>CABLE_CONNECTOR_THERMAL</x:v>
      </x:c>
      <x:c r="F15" s="24" t="str">
        <x:v>ELECTRICAL_COLLECTION</x:v>
      </x:c>
      <x:c r="G15" s="24" t="str">
        <x:v>CABLE_AC + CABLE_DC</x:v>
      </x:c>
      <x:c r="H15" s="24" t="str">
        <x:v>Cable/connector thermal value</x:v>
      </x:c>
      <x:c r="I15" s="24" t="str">
        <x:v>plant</x:v>
      </x:c>
      <x:c r="J15" s="24" t="str">
        <x:v>physical_replaceable</x:v>
      </x:c>
      <x:c r="K15" s="32" t="n">
        <x:v>87779570.23626667</x:v>
      </x:c>
      <x:c r="L15" s="33" t="n">
        <x:v>0.12391023656366708</x:v>
      </x:c>
      <x:c r="M15" s="33" t="n">
        <x:v>0.4</x:v>
      </x:c>
      <x:c r="N15" s="33" t="str">
        <x:v>thermal_exposure_placeholder</x:v>
      </x:c>
      <x:c r="O15" s="33" t="n">
        <x:v>1</x:v>
      </x:c>
      <x:c r="P15" s="32" t="n">
        <x:f>K15*L15*M15*O15</x:f>
        <x:v>4350714.925373133</x:v>
      </x:c>
      <x:c r="Q15" s="33" t="n">
        <x:f>L15*M15*O15</x:f>
        <x:v>0.049564094625466834</x:v>
      </x:c>
      <x:c r="R15" s="24" t="str">
        <x:v>solar_wind_value_breakdown.xlsx</x:v>
      </x:c>
      <x:c r="S15" s="24" t="str">
        <x:v>https://data.nlr.gov/system/files/304/1767739491-UPV%202025Q1.txt</x:v>
      </x:c>
      <x:c r="T15" s="24" t="str">
        <x:v>placeholder_f</x:v>
      </x:c>
      <x:c r="U15" s="24" t="str">
        <x:v>Exposed above-ground cable/connectors likely subset of collection value.</x:v>
      </x:c>
    </x:row>
  </x:sheetData>
  <x:dataValidations count="1">
    <x:dataValidation type="list" sqref="N2:N15">
      <x:formula1>Lists!$G$2:$G$7</x:formula1>
    </x:dataValidation>
  </x:dataValidations>
  <x:pageMargins left="0.7" right="0.7" top="0.75" bottom="0.75" header="0.3" footer="0.3"/>
  <x:tableParts count="1">
    <x:tablePart xmlns:r="http://schemas.openxmlformats.org/officeDocument/2006/relationships" r:id="R0e956d34680843ff"/>
  </x:tableParts>
</x:worksheet>
</file>

<file path=xl/worksheets/sheet7.xml><?xml version="1.0" encoding="utf-8"?>
<x:worksheet xmlns:x="http://schemas.openxmlformats.org/spreadsheetml/2006/main">
  <x:sheetFormatPr defaultRowHeight="15"/>
  <x:cols>
    <x:col min="1" max="1" width="28" hidden="0" customWidth="1"/>
    <x:col min="2" max="2" width="16" hidden="0" customWidth="1"/>
    <x:col min="3" max="3" width="16" hidden="0" customWidth="1"/>
    <x:col min="4" max="4" width="16" hidden="0" customWidth="1"/>
    <x:col min="5" max="5" width="16" hidden="0" customWidth="1"/>
    <x:col min="6" max="6" width="28" hidden="0" customWidth="1"/>
    <x:col min="7" max="7" width="34" hidden="0" customWidth="1"/>
    <x:col min="8" max="8" width="16" hidden="0" customWidth="1"/>
    <x:col min="9" max="9" width="16" hidden="0" customWidth="1"/>
    <x:col min="10" max="10" width="16" hidden="0" customWidth="1"/>
    <x:col min="11" max="11" width="16" hidden="0" customWidth="1"/>
    <x:col min="12" max="12" width="24" hidden="0" customWidth="1"/>
    <x:col min="13" max="13" width="24" hidden="0" customWidth="1"/>
    <x:col min="14" max="14" width="28" hidden="0" customWidth="1"/>
    <x:col min="15" max="15" width="24" hidden="0" customWidth="1"/>
    <x:col min="16" max="16" width="34" hidden="0" customWidth="1"/>
    <x:col min="17" max="17" width="16" hidden="0" customWidth="1"/>
    <x:col min="18" max="18" width="34" hidden="0" customWidth="1"/>
    <x:col min="19" max="19" width="34" hidden="0" customWidth="1"/>
    <x:col min="20" max="20" width="28" hidden="0" customWidth="1"/>
    <x:col min="21" max="21" width="16" hidden="0" customWidth="1"/>
    <x:col min="22" max="22" width="28" hidden="0" customWidth="1"/>
    <x:col min="23" max="23" width="28" hidden="0" customWidth="1"/>
    <x:col min="24" max="24" width="28" hidden="0" customWidth="1"/>
    <x:col min="25" max="25" width="28" hidden="0" customWidth="1"/>
    <x:col min="26" max="26" width="16" hidden="0" customWidth="1"/>
    <x:col min="27" max="27" width="28" hidden="0" customWidth="1"/>
    <x:col min="28" max="28" width="34" hidden="0" customWidth="1"/>
  </x:cols>
  <x:sheetData>
    <x:row r="1" ht="30" customHeight="1">
      <x:c r="A1" s="101" t="str">
        <x:v>curve_record_id</x:v>
      </x:c>
      <x:c r="B1" s="101" t="str">
        <x:v>schema_version</x:v>
      </x:c>
      <x:c r="C1" s="101" t="str">
        <x:v>cell_id</x:v>
      </x:c>
      <x:c r="D1" s="101" t="str">
        <x:v>hazard</x:v>
      </x:c>
      <x:c r="E1" s="101" t="str">
        <x:v>asset_class</x:v>
      </x:c>
      <x:c r="F1" s="101" t="str">
        <x:v>failure_unit_id</x:v>
      </x:c>
      <x:c r="G1" s="101" t="str">
        <x:v>failure_unit_label</x:v>
      </x:c>
      <x:c r="H1" s="101" t="str">
        <x:v>asset_scope</x:v>
      </x:c>
      <x:c r="I1" s="101" t="str">
        <x:v>subsystem</x:v>
      </x:c>
      <x:c r="J1" s="101" t="str">
        <x:v>component</x:v>
      </x:c>
      <x:c r="K1" s="101" t="str">
        <x:v>x_axis_id</x:v>
      </x:c>
      <x:c r="L1" s="101" t="str">
        <x:v>x_axis_unit</x:v>
      </x:c>
      <x:c r="M1" s="101" t="str">
        <x:v>curve_native_axis</x:v>
      </x:c>
      <x:c r="N1" s="101" t="str">
        <x:v>bridge_axis_id</x:v>
      </x:c>
      <x:c r="O1" s="101" t="str">
        <x:v>bridge_assumption_version</x:v>
      </x:c>
      <x:c r="P1" s="101" t="str">
        <x:v>bridge_notes</x:v>
      </x:c>
      <x:c r="Q1" s="101" t="str">
        <x:v>chain_node</x:v>
      </x:c>
      <x:c r="R1" s="101" t="str">
        <x:v>conditioners</x:v>
      </x:c>
      <x:c r="S1" s="101" t="str">
        <x:v>selectors</x:v>
      </x:c>
      <x:c r="T1" s="101" t="str">
        <x:v>value_link_id</x:v>
      </x:c>
      <x:c r="U1" s="101" t="str">
        <x:v>curve_form</x:v>
      </x:c>
      <x:c r="V1" s="101" t="str">
        <x:v>parameter_set_id</x:v>
      </x:c>
      <x:c r="W1" s="101" t="str">
        <x:v>evidence_id</x:v>
      </x:c>
      <x:c r="X1" s="101" t="str">
        <x:v>emit_policy_id</x:v>
      </x:c>
      <x:c r="Y1" s="101" t="str">
        <x:v>metrics_policy_id</x:v>
      </x:c>
      <x:c r="Z1" s="101" t="str">
        <x:v>status</x:v>
      </x:c>
      <x:c r="AA1" s="99" t="str">
        <x:v>open_seam_id</x:v>
      </x:c>
      <x:c r="AB1" s="99" t="str">
        <x:v>notes</x:v>
      </x:c>
      <x:c r="AC1"/>
    </x:row>
    <x:row r="2" ht="30" customHeight="1">
      <x:c r="A2" s="24" t="str">
        <x:v>CR_HAIL_SOLAR_MODULE_GLASS</x:v>
      </x:c>
      <x:c r="B2" s="24" t="str">
        <x:v>v0.1</x:v>
      </x:c>
      <x:c r="C2" s="24" t="str">
        <x:v>HAIL_SOLAR</x:v>
      </x:c>
      <x:c r="D2" s="24" t="str">
        <x:v>hail</x:v>
      </x:c>
      <x:c r="E2" s="24" t="str">
        <x:v>solar_pv</x:v>
      </x:c>
      <x:c r="F2" s="24" t="str">
        <x:v>PV_MODULE_GLASS_CELL</x:v>
      </x:c>
      <x:c r="G2" s="24" t="str">
        <x:v>PV module glass/cell damage</x:v>
      </x:c>
      <x:c r="H2" s="24" t="str">
        <x:v>generator</x:v>
      </x:c>
      <x:c r="I2" s="24" t="str">
        <x:v>PV_ARRAY</x:v>
      </x:c>
      <x:c r="J2" s="24" t="str">
        <x:v>PV_MODULE</x:v>
      </x:c>
      <x:c r="K2" s="24" t="str">
        <x:v>HAIL_DIAMETER_MESH_EQUIV</x:v>
      </x:c>
      <x:c r="L2" s="24" t="str">
        <x:v>mm internal; in source</x:v>
      </x:c>
      <x:c r="M2" s="24" t="str">
        <x:v>diameter-native v1; KE bridge allowed</x:v>
      </x:c>
      <x:c r="N2" s="24" t="str">
        <x:v>HAIL_DIAMETER_TO_IMPACT_KE_PROXY</x:v>
      </x:c>
      <x:c r="O2" s="24" t="str">
        <x:v>required if curve/anchor uses KE</x:v>
      </x:c>
      <x:c r="P2" s="24" t="str">
        <x:v>Provider data ingests diameter/MESH; use KE proxy only as explicit bridge.</x:v>
      </x:c>
      <x:c r="Q2" s="24" t="str">
        <x:v>proximate</x:v>
      </x:c>
      <x:c r="R2" s="24" t="str">
        <x:v>tracker stow angle; stow execution; warning lead time</x:v>
      </x:c>
      <x:c r="S2" s="24" t="str">
        <x:v>module type; glass thickness; tempered glass</x:v>
      </x:c>
      <x:c r="T2" s="24" t="str">
        <x:v>VL_HAIL_SOLAR_MODULE_GLASS</x:v>
      </x:c>
      <x:c r="U2" s="24" t="str">
        <x:v>diameter-native logistic P_break(D); scenario-specific module archetype</x:v>
      </x:c>
      <x:c r="V2" s="24" t="str">
        <x:v>PARAM_HAIL_SOLAR_MODULE</x:v>
      </x:c>
      <x:c r="W2" s="24" t="str">
        <x:v>EV_HAIL_V1_DERIVATION</x:v>
      </x:c>
      <x:c r="X2" s="24" t="str">
        <x:v>EMIT_HAIL_SOLAR_MODULE</x:v>
      </x:c>
      <x:c r="Y2" s="24" t="str">
        <x:v>METRIC_HAIL_SOLAR_MODULE</x:v>
      </x:c>
      <x:c r="Z2" s="24" t="str">
        <x:v>v1_derived_public</x:v>
      </x:c>
      <x:c r="AA2" s="24" t="str">
        <x:v>SEAM_MODULE_BOM_F;SEAM_STOW_HAZARD_CORRELATION;SEAM_HAIL_FIELD_EXTRAPOLATION</x:v>
      </x:c>
      <x:c r="AB2" s="24" t="str">
        <x:v>Primary x-axis is MESH-equivalent diameter. v1 default curve is 3.2mm glass//backsheet; fragile/hardened scenarios added in Hail_V1_Derivation.</x:v>
      </x:c>
      <x:c r="AC2"/>
    </x:row>
    <x:row r="3" ht="30" customHeight="1">
      <x:c r="A3" s="24" t="str">
        <x:v>CR_HAIL_SOLAR_TRACKER_MOUNTING</x:v>
      </x:c>
      <x:c r="B3" s="24" t="str">
        <x:v>v0.1</x:v>
      </x:c>
      <x:c r="C3" s="24" t="str">
        <x:v>HAIL_SOLAR</x:v>
      </x:c>
      <x:c r="D3" s="24" t="str">
        <x:v>hail</x:v>
      </x:c>
      <x:c r="E3" s="24" t="str">
        <x:v>solar_pv</x:v>
      </x:c>
      <x:c r="F3" s="24" t="str">
        <x:v>TRACKER_RACKING_STOW_DAMAGE</x:v>
      </x:c>
      <x:c r="G3" s="24" t="str">
        <x:v>Tracker/racking hail damage or DR≈0 row</x:v>
      </x:c>
      <x:c r="H3" s="24" t="str">
        <x:v>generator</x:v>
      </x:c>
      <x:c r="I3" s="24" t="str">
        <x:v>MOUNTING</x:v>
      </x:c>
      <x:c r="J3" s="24" t="str">
        <x:v>TRACKER + RACKING_STRUCTURE</x:v>
      </x:c>
      <x:c r="K3" s="24" t="str">
        <x:v>HAIL_DIAMETER_MESH_EQUIV</x:v>
      </x:c>
      <x:c r="L3" s="24" t="str">
        <x:v>mm internal; in source</x:v>
      </x:c>
      <x:c r="M3" s="24" t="str">
        <x:v>diameter-native v1; KE bridge allowed</x:v>
      </x:c>
      <x:c r="N3" s="24" t="str">
        <x:v>HAIL_DIAMETER_TO_IMPACT_KE_PROXY</x:v>
      </x:c>
      <x:c r="O3" s="24" t="str">
        <x:v>required if curve/anchor uses KE</x:v>
      </x:c>
      <x:c r="P3" s="24" t="str">
        <x:v>Provider data ingests diameter/MESH; use KE proxy only as explicit bridge.</x:v>
      </x:c>
      <x:c r="Q3" s="24" t="str">
        <x:v>proximate</x:v>
      </x:c>
      <x:c r="R3" s="24" t="str">
        <x:v>tracker stow angle; panel angle during event</x:v>
      </x:c>
      <x:c r="S3" s="24" t="str">
        <x:v>tracker type; mount design</x:v>
      </x:c>
      <x:c r="T3" s="24" t="str">
        <x:v>VL_HAIL_SOLAR_TRACKER_MOUNTING</x:v>
      </x:c>
      <x:c r="U3" s="24" t="str">
        <x:v>TBD/DR0</x:v>
      </x:c>
      <x:c r="V3" s="24" t="str">
        <x:v>PARAM_HAIL_SOLAR_TRACKER</x:v>
      </x:c>
      <x:c r="W3" s="24" t="str">
        <x:v>EV_PLACEHOLDER_HAIL_TRACKER</x:v>
      </x:c>
      <x:c r="X3" s="24" t="str">
        <x:v>EMIT_HAIL_SOLAR_TRACKER</x:v>
      </x:c>
      <x:c r="Y3" s="24" t="str">
        <x:v>METRIC_HAIL_SOLAR_TRACKER</x:v>
      </x:c>
      <x:c r="Z3" s="24" t="str">
        <x:v>scaffold</x:v>
      </x:c>
      <x:c r="AA3" s="24" t="str">
        <x:v>SEAM_TRACKER_HAIL_RELEVANCE</x:v>
      </x:c>
      <x:c r="AB3" s="24" t="str">
        <x:v>Use diameter/MESH axis; tracker is primarily conditioner and may become DR≈0 if no supported damage pathway.</x:v>
      </x:c>
      <x:c r="AC3"/>
    </x:row>
    <x:row r="4" ht="30" customHeight="1">
      <x:c r="A4" s="24" t="str">
        <x:v>CR_HAIL_SOLAR_NONPHYSICAL_DR0</x:v>
      </x:c>
      <x:c r="B4" s="24" t="str">
        <x:v>v0.1</x:v>
      </x:c>
      <x:c r="C4" s="24" t="str">
        <x:v>HAIL_SOLAR</x:v>
      </x:c>
      <x:c r="D4" s="24" t="str">
        <x:v>hail</x:v>
      </x:c>
      <x:c r="E4" s="24" t="str">
        <x:v>solar_pv</x:v>
      </x:c>
      <x:c r="F4" s="24" t="str">
        <x:v>SUNK_SOFT_DR0</x:v>
      </x:c>
      <x:c r="G4" s="24" t="str">
        <x:v>Sunk/soft/nonphysical reconciliation row</x:v>
      </x:c>
      <x:c r="H4" s="24" t="str">
        <x:v>cost_basis</x:v>
      </x:c>
      <x:c r="I4" s="24" t="str">
        <x:v>SUNK_SOFT_NONPHYSICAL</x:v>
      </x:c>
      <x:c r="J4" s="24" t="str">
        <x:v>OFFICEWORK + OTHER</x:v>
      </x:c>
      <x:c r="K4" s="24" t="str">
        <x:v>NONE</x:v>
      </x:c>
      <x:c r="L4" s="24" t="str">
        <x:v>n/a</x:v>
      </x:c>
      <x:c r="M4" s="24" t="str">
        <x:v>n/a</x:v>
      </x:c>
      <x:c r="N4" s="24" t="str">
        <x:v>n/a</x:v>
      </x:c>
      <x:c r="O4" s="24" t="str">
        <x:v>n/a</x:v>
      </x:c>
      <x:c r="P4" s="24" t="str">
        <x:v>DR≈0 cost-basis reconciliation row; no physical hail axis.</x:v>
      </x:c>
      <x:c r="Q4" s="24" t="str">
        <x:v>n/a</x:v>
      </x:c>
      <x:c r="R4" s="24" t="str">
        <x:v>n/a</x:v>
      </x:c>
      <x:c r="S4" s="24" t="str">
        <x:v>n/a</x:v>
      </x:c>
      <x:c r="T4" s="24" t="str">
        <x:v>VL_HAIL_SOLAR_DR0_NONPHYSICAL</x:v>
      </x:c>
      <x:c r="U4" s="24" t="str">
        <x:v>DR0</x:v>
      </x:c>
      <x:c r="V4" s="24" t="str">
        <x:v>PARAM_DR0</x:v>
      </x:c>
      <x:c r="W4" s="24" t="str">
        <x:v>EV_VALUATION_GUIDE</x:v>
      </x:c>
      <x:c r="X4" s="24" t="str">
        <x:v>EMIT_DR0</x:v>
      </x:c>
      <x:c r="Y4" s="24" t="str">
        <x:v>METRIC_DR0</x:v>
      </x:c>
      <x:c r="Z4" s="24" t="str">
        <x:v>scaffold</x:v>
      </x:c>
      <x:c r="AA4" s="24" t="str">
        <x:v>n/a</x:v>
      </x:c>
      <x:c r="AB4" s="24" t="str">
        <x:v>Not a physical curve; retained in narrative to avoid denominator confusion.</x:v>
      </x:c>
      <x:c r="AC4"/>
    </x:row>
    <x:row r="5" ht="30" customHeight="1">
      <x:c r="A5" s="24" t="str">
        <x:v>CR_FLOOD_SOLAR_INVERTER</x:v>
      </x:c>
      <x:c r="B5" s="24" t="str">
        <x:v>v0.1</x:v>
      </x:c>
      <x:c r="C5" s="24" t="str">
        <x:v>FLOOD_SOLAR</x:v>
      </x:c>
      <x:c r="D5" s="24" t="str">
        <x:v>flood</x:v>
      </x:c>
      <x:c r="E5" s="24" t="str">
        <x:v>solar_pv</x:v>
      </x:c>
      <x:c r="F5" s="24" t="str">
        <x:v>INVERTER_INGRESS</x:v>
      </x:c>
      <x:c r="G5" s="24" t="str">
        <x:v>Inverter/cabinet water ingress</x:v>
      </x:c>
      <x:c r="H5" s="24" t="str">
        <x:v>generator</x:v>
      </x:c>
      <x:c r="I5" s="24" t="str">
        <x:v>INVERTER_SYSTEM</x:v>
      </x:c>
      <x:c r="J5" s="24" t="str">
        <x:v>INVERTER</x:v>
      </x:c>
      <x:c r="K5" s="24" t="str">
        <x:v>FLOOD_DEPTH</x:v>
      </x:c>
      <x:c r="L5" s="24" t="str">
        <x:v>m above grade or water depth</x:v>
      </x:c>
      <x:c r="M5" s="24" t="str">
        <x:v>n/a</x:v>
      </x:c>
      <x:c r="N5" s="24" t="str">
        <x:v>n/a</x:v>
      </x:c>
      <x:c r="O5" s="24" t="str">
        <x:v>n/a</x:v>
      </x:c>
      <x:c r="P5" s="24" t="str">
        <x:v>n/a</x:v>
      </x:c>
      <x:c r="Q5" s="24" t="str">
        <x:v>proximate</x:v>
      </x:c>
      <x:c r="R5" s="24" t="str">
        <x:v>energized state; duration if necessary</x:v>
      </x:c>
      <x:c r="S5" s="24" t="str">
        <x:v>pad elevation; IP/NEMA rating</x:v>
      </x:c>
      <x:c r="T5" s="24" t="str">
        <x:v>VL_FLOOD_SOLAR_INVERTER</x:v>
      </x:c>
      <x:c r="U5" s="24" t="str">
        <x:v>TBD/states</x:v>
      </x:c>
      <x:c r="V5" s="24" t="str">
        <x:v>PARAM_FLOOD_SOLAR_INVERTER</x:v>
      </x:c>
      <x:c r="W5" s="24" t="str">
        <x:v>EV_PLACEHOLDER_FLOOD_ELECTRICAL</x:v>
      </x:c>
      <x:c r="X5" s="24" t="str">
        <x:v>EMIT_FLOOD_SOLAR_INVERTER</x:v>
      </x:c>
      <x:c r="Y5" s="24" t="str">
        <x:v>METRIC_FLOOD_SOLAR_INVERTER</x:v>
      </x:c>
      <x:c r="Z5" s="24" t="str">
        <x:v>scaffold</x:v>
      </x:c>
      <x:c r="AA5" s="24" t="str">
        <x:v>SEAM_FLOOD_ELEVATION_GEOMETRY</x:v>
      </x:c>
      <x:c r="AB5" s="24" t="str">
        <x:v>Depth/elevation geometry drives f.</x:v>
      </x:c>
      <x:c r="AC5"/>
    </x:row>
    <x:row r="6" ht="30" customHeight="1">
      <x:c r="A6" s="24" t="str">
        <x:v>CR_FLOOD_SOLAR_SUBSTATION</x:v>
      </x:c>
      <x:c r="B6" s="24" t="str">
        <x:v>v0.1</x:v>
      </x:c>
      <x:c r="C6" s="24" t="str">
        <x:v>FLOOD_SOLAR</x:v>
      </x:c>
      <x:c r="D6" s="24" t="str">
        <x:v>flood</x:v>
      </x:c>
      <x:c r="E6" s="24" t="str">
        <x:v>solar_pv</x:v>
      </x:c>
      <x:c r="F6" s="24" t="str">
        <x:v>SUBSTATION_INGRESS</x:v>
      </x:c>
      <x:c r="G6" s="24" t="str">
        <x:v>Transformer/switchgear water ingress</x:v>
      </x:c>
      <x:c r="H6" s="24" t="str">
        <x:v>plant</x:v>
      </x:c>
      <x:c r="I6" s="24" t="str">
        <x:v>SUBSTATION</x:v>
      </x:c>
      <x:c r="J6" s="24" t="str">
        <x:v>TRANSFORMER_MAIN + SWITCHGEAR</x:v>
      </x:c>
      <x:c r="K6" s="24" t="str">
        <x:v>FLOOD_DEPTH</x:v>
      </x:c>
      <x:c r="L6" s="24" t="str">
        <x:v>m above grade or water depth</x:v>
      </x:c>
      <x:c r="M6" s="24" t="str">
        <x:v>n/a</x:v>
      </x:c>
      <x:c r="N6" s="24" t="str">
        <x:v>n/a</x:v>
      </x:c>
      <x:c r="O6" s="24" t="str">
        <x:v>n/a</x:v>
      </x:c>
      <x:c r="P6" s="24" t="str">
        <x:v>n/a</x:v>
      </x:c>
      <x:c r="Q6" s="24" t="str">
        <x:v>proximate</x:v>
      </x:c>
      <x:c r="R6" s="24" t="str">
        <x:v>energized state; duration if necessary</x:v>
      </x:c>
      <x:c r="S6" s="24" t="str">
        <x:v>pad elevation; enclosure rating</x:v>
      </x:c>
      <x:c r="T6" s="24" t="str">
        <x:v>VL_FLOOD_SOLAR_SUBSTATION</x:v>
      </x:c>
      <x:c r="U6" s="24" t="str">
        <x:v>TBD/states</x:v>
      </x:c>
      <x:c r="V6" s="24" t="str">
        <x:v>PARAM_FLOOD_SOLAR_SUBSTATION</x:v>
      </x:c>
      <x:c r="W6" s="24" t="str">
        <x:v>EV_PLACEHOLDER_FLOOD_ELECTRICAL</x:v>
      </x:c>
      <x:c r="X6" s="24" t="str">
        <x:v>EMIT_FLOOD_SOLAR_SUBSTATION</x:v>
      </x:c>
      <x:c r="Y6" s="24" t="str">
        <x:v>METRIC_FLOOD_SOLAR_SUBSTATION</x:v>
      </x:c>
      <x:c r="Z6" s="24" t="str">
        <x:v>scaffold</x:v>
      </x:c>
      <x:c r="AA6" s="24" t="str">
        <x:v>SEAM_FLOOD_ELEVATION_GEOMETRY</x:v>
      </x:c>
      <x:c r="AB6" s="24" t="str">
        <x:v>Shared plant-scope asset; count once at cell level.</x:v>
      </x:c>
      <x:c r="AC6"/>
    </x:row>
    <x:row r="7" ht="30" customHeight="1">
      <x:c r="A7" s="24" t="str">
        <x:v>CR_FLOOD_SOLAR_COLLECTION</x:v>
      </x:c>
      <x:c r="B7" s="24" t="str">
        <x:v>v0.1</x:v>
      </x:c>
      <x:c r="C7" s="24" t="str">
        <x:v>FLOOD_SOLAR</x:v>
      </x:c>
      <x:c r="D7" s="24" t="str">
        <x:v>flood</x:v>
      </x:c>
      <x:c r="E7" s="24" t="str">
        <x:v>solar_pv</x:v>
      </x:c>
      <x:c r="F7" s="24" t="str">
        <x:v>COLLECTION_CABLE_TRENCH</x:v>
      </x:c>
      <x:c r="G7" s="24" t="str">
        <x:v>Collection trench/cable water/debris damage</x:v>
      </x:c>
      <x:c r="H7" s="24" t="str">
        <x:v>plant</x:v>
      </x:c>
      <x:c r="I7" s="24" t="str">
        <x:v>ELECTRICAL_COLLECTION</x:v>
      </x:c>
      <x:c r="J7" s="24" t="str">
        <x:v>CABLE_AC + CABLE_DC</x:v>
      </x:c>
      <x:c r="K7" s="24" t="str">
        <x:v>FLOOD_DEPTH</x:v>
      </x:c>
      <x:c r="L7" s="24" t="str">
        <x:v>m above grade or water depth</x:v>
      </x:c>
      <x:c r="M7" s="24" t="str">
        <x:v>n/a</x:v>
      </x:c>
      <x:c r="N7" s="24" t="str">
        <x:v>n/a</x:v>
      </x:c>
      <x:c r="O7" s="24" t="str">
        <x:v>n/a</x:v>
      </x:c>
      <x:c r="P7" s="24" t="str">
        <x:v>n/a</x:v>
      </x:c>
      <x:c r="Q7" s="24" t="str">
        <x:v>proximate</x:v>
      </x:c>
      <x:c r="R7" s="24" t="str">
        <x:v>duration; drainage condition</x:v>
      </x:c>
      <x:c r="S7" s="24" t="str">
        <x:v>trenching/conduit type; cable elevation</x:v>
      </x:c>
      <x:c r="T7" s="24" t="str">
        <x:v>VL_FLOOD_SOLAR_COLLECTION</x:v>
      </x:c>
      <x:c r="U7" s="24" t="str">
        <x:v>TBD/states</x:v>
      </x:c>
      <x:c r="V7" s="24" t="str">
        <x:v>PARAM_FLOOD_SOLAR_COLLECTION</x:v>
      </x:c>
      <x:c r="W7" s="24" t="str">
        <x:v>EV_PLACEHOLDER_FLOOD_COLLECTION</x:v>
      </x:c>
      <x:c r="X7" s="24" t="str">
        <x:v>EMIT_FLOOD_SOLAR_COLLECTION</x:v>
      </x:c>
      <x:c r="Y7" s="24" t="str">
        <x:v>METRIC_FLOOD_SOLAR_COLLECTION</x:v>
      </x:c>
      <x:c r="Z7" s="24" t="str">
        <x:v>scaffold</x:v>
      </x:c>
      <x:c r="AA7" s="24" t="str">
        <x:v>SEAM_FLOOD_ELEVATION_GEOMETRY</x:v>
      </x:c>
      <x:c r="AB7" s="24" t="str">
        <x:v>May require separation of cable, trench, and junction exposure.</x:v>
      </x:c>
      <x:c r="AC7"/>
    </x:row>
    <x:row r="8" ht="30" customHeight="1">
      <x:c r="A8" s="24" t="str">
        <x:v>CR_FLOOD_SOLAR_FOUNDATION_SCOUR</x:v>
      </x:c>
      <x:c r="B8" s="24" t="str">
        <x:v>v0.1</x:v>
      </x:c>
      <x:c r="C8" s="24" t="str">
        <x:v>FLOOD_SOLAR</x:v>
      </x:c>
      <x:c r="D8" s="24" t="str">
        <x:v>flood</x:v>
      </x:c>
      <x:c r="E8" s="24" t="str">
        <x:v>solar_pv</x:v>
      </x:c>
      <x:c r="F8" s="24" t="str">
        <x:v>FOUNDATION_SCOUR</x:v>
      </x:c>
      <x:c r="G8" s="24" t="str">
        <x:v>Foundation/pile scour or undermining</x:v>
      </x:c>
      <x:c r="H8" s="24" t="str">
        <x:v>plant/generator</x:v>
      </x:c>
      <x:c r="I8" s="24" t="str">
        <x:v>FOUNDATION</x:v>
      </x:c>
      <x:c r="J8" s="24" t="str">
        <x:v>FOUNDATION_BASE</x:v>
      </x:c>
      <x:c r="K8" s="24" t="str">
        <x:v>FLOOD_VELOCITY</x:v>
      </x:c>
      <x:c r="L8" s="24" t="str">
        <x:v>m/s</x:v>
      </x:c>
      <x:c r="M8" s="24" t="str">
        <x:v>n/a</x:v>
      </x:c>
      <x:c r="N8" s="24" t="str">
        <x:v>n/a</x:v>
      </x:c>
      <x:c r="O8" s="24" t="str">
        <x:v>n/a</x:v>
      </x:c>
      <x:c r="P8" s="24" t="str">
        <x:v>n/a</x:v>
      </x:c>
      <x:c r="Q8" s="24" t="str">
        <x:v>component_load</x:v>
      </x:c>
      <x:c r="R8" s="24" t="str">
        <x:v>soil saturation; debris load</x:v>
      </x:c>
      <x:c r="S8" s="24" t="str">
        <x:v>pile type; embedment; local grade</x:v>
      </x:c>
      <x:c r="T8" s="24" t="str">
        <x:v>VL_FLOOD_SOLAR_FOUNDATION_SCOUR</x:v>
      </x:c>
      <x:c r="U8" s="24" t="str">
        <x:v>TBD</x:v>
      </x:c>
      <x:c r="V8" s="24" t="str">
        <x:v>PARAM_FLOOD_SOLAR_FOUNDATION</x:v>
      </x:c>
      <x:c r="W8" s="24" t="str">
        <x:v>EV_PLACEHOLDER_FLOOD_SCOUR</x:v>
      </x:c>
      <x:c r="X8" s="24" t="str">
        <x:v>EMIT_FLOOD_SOLAR_FOUNDATION</x:v>
      </x:c>
      <x:c r="Y8" s="24" t="str">
        <x:v>METRIC_FLOOD_SOLAR_FOUNDATION</x:v>
      </x:c>
      <x:c r="Z8" s="24" t="str">
        <x:v>scaffold</x:v>
      </x:c>
      <x:c r="AA8" s="24" t="str">
        <x:v>SEAM_FLOOD_DEPTH_VELOCITY_SPLIT</x:v>
      </x:c>
      <x:c r="AB8" s="24" t="str">
        <x:v>Velocity/scour curve split from depth/ingress curve.</x:v>
      </x:c>
      <x:c r="AC8"/>
    </x:row>
    <x:row r="9" ht="30" customHeight="1">
      <x:c r="A9" s="24" t="str">
        <x:v>CR_WIND_TORNADO_BLADE</x:v>
      </x:c>
      <x:c r="B9" s="24" t="str">
        <x:v>v0.1</x:v>
      </x:c>
      <x:c r="C9" s="24" t="str">
        <x:v>WIND_TORNADO_WIND</x:v>
      </x:c>
      <x:c r="D9" s="24" t="str">
        <x:v>strong_wind_tornado</x:v>
      </x:c>
      <x:c r="E9" s="24" t="str">
        <x:v>land_based_wind</x:v>
      </x:c>
      <x:c r="F9" s="24" t="str">
        <x:v>BLADE_STRUCTURAL</x:v>
      </x:c>
      <x:c r="G9" s="24" t="str">
        <x:v>Blade structural damage</x:v>
      </x:c>
      <x:c r="H9" s="24" t="str">
        <x:v>generator</x:v>
      </x:c>
      <x:c r="I9" s="24" t="str">
        <x:v>ROTOR_ASSEMBLY</x:v>
      </x:c>
      <x:c r="J9" s="24" t="str">
        <x:v>BLADE</x:v>
      </x:c>
      <x:c r="K9" s="24" t="str">
        <x:v>WIND_3SEC_GUST</x:v>
      </x:c>
      <x:c r="L9" s="24" t="str">
        <x:v>m/s</x:v>
      </x:c>
      <x:c r="M9" s="24" t="str">
        <x:v>n/a</x:v>
      </x:c>
      <x:c r="N9" s="24" t="str">
        <x:v>n/a</x:v>
      </x:c>
      <x:c r="O9" s="24" t="str">
        <x:v>n/a</x:v>
      </x:c>
      <x:c r="P9" s="24" t="str">
        <x:v>n/a</x:v>
      </x:c>
      <x:c r="Q9" s="24" t="str">
        <x:v>component_load</x:v>
      </x:c>
      <x:c r="R9" s="24" t="str">
        <x:v>operating/feathered state; yaw alignment</x:v>
      </x:c>
      <x:c r="S9" s="24" t="str">
        <x:v>IEC turbine class; blade length; rotor diameter</x:v>
      </x:c>
      <x:c r="T9" s="24" t="str">
        <x:v>VL_WIND_TORNADO_BLADE</x:v>
      </x:c>
      <x:c r="U9" s="24" t="str">
        <x:v>TBD/sigmoid</x:v>
      </x:c>
      <x:c r="V9" s="24" t="str">
        <x:v>PARAM_WIND_TORNADO_BLADE</x:v>
      </x:c>
      <x:c r="W9" s="24" t="str">
        <x:v>EV_PLACEHOLDER_WIND_BLADE</x:v>
      </x:c>
      <x:c r="X9" s="24" t="str">
        <x:v>EMIT_WIND_TORNADO_BLADE</x:v>
      </x:c>
      <x:c r="Y9" s="24" t="str">
        <x:v>METRIC_WIND_TORNADO_BLADE</x:v>
      </x:c>
      <x:c r="Z9" s="24" t="str">
        <x:v>scaffold</x:v>
      </x:c>
      <x:c r="AA9" s="24" t="str">
        <x:v>SEAM_WIND_TORNADO_AXIS</x:v>
      </x:c>
      <x:c r="AB9" s="24" t="str">
        <x:v>Repeated turbine exposure; may need spatial exposure factor.</x:v>
      </x:c>
      <x:c r="AC9"/>
    </x:row>
    <x:row r="10" ht="30" customHeight="1">
      <x:c r="A10" s="24" t="str">
        <x:v>CR_WIND_TORNADO_TOWER</x:v>
      </x:c>
      <x:c r="B10" s="24" t="str">
        <x:v>v0.1</x:v>
      </x:c>
      <x:c r="C10" s="24" t="str">
        <x:v>WIND_TORNADO_WIND</x:v>
      </x:c>
      <x:c r="D10" s="24" t="str">
        <x:v>strong_wind_tornado</x:v>
      </x:c>
      <x:c r="E10" s="24" t="str">
        <x:v>land_based_wind</x:v>
      </x:c>
      <x:c r="F10" s="24" t="str">
        <x:v>TOWER_STRUCTURAL</x:v>
      </x:c>
      <x:c r="G10" s="24" t="str">
        <x:v>Tower structural damage</x:v>
      </x:c>
      <x:c r="H10" s="24" t="str">
        <x:v>generator</x:v>
      </x:c>
      <x:c r="I10" s="24" t="str">
        <x:v>TOWER</x:v>
      </x:c>
      <x:c r="J10" s="24" t="str">
        <x:v>TOWER_SECTION</x:v>
      </x:c>
      <x:c r="K10" s="24" t="str">
        <x:v>WIND_3SEC_GUST</x:v>
      </x:c>
      <x:c r="L10" s="24" t="str">
        <x:v>m/s</x:v>
      </x:c>
      <x:c r="M10" s="24" t="str">
        <x:v>n/a</x:v>
      </x:c>
      <x:c r="N10" s="24" t="str">
        <x:v>n/a</x:v>
      </x:c>
      <x:c r="O10" s="24" t="str">
        <x:v>n/a</x:v>
      </x:c>
      <x:c r="P10" s="24" t="str">
        <x:v>n/a</x:v>
      </x:c>
      <x:c r="Q10" s="24" t="str">
        <x:v>component_load</x:v>
      </x:c>
      <x:c r="R10" s="24" t="str">
        <x:v>operating/feathered state</x:v>
      </x:c>
      <x:c r="S10" s="24" t="str">
        <x:v>tower type; hub height; turbine class</x:v>
      </x:c>
      <x:c r="T10" s="24" t="str">
        <x:v>VL_WIND_TORNADO_TOWER</x:v>
      </x:c>
      <x:c r="U10" s="24" t="str">
        <x:v>TBD/sigmoid</x:v>
      </x:c>
      <x:c r="V10" s="24" t="str">
        <x:v>PARAM_WIND_TORNADO_TOWER</x:v>
      </x:c>
      <x:c r="W10" s="24" t="str">
        <x:v>EV_PLACEHOLDER_WIND_TOWER</x:v>
      </x:c>
      <x:c r="X10" s="24" t="str">
        <x:v>EMIT_WIND_TORNADO_TOWER</x:v>
      </x:c>
      <x:c r="Y10" s="24" t="str">
        <x:v>METRIC_WIND_TORNADO_TOWER</x:v>
      </x:c>
      <x:c r="Z10" s="24" t="str">
        <x:v>scaffold</x:v>
      </x:c>
      <x:c r="AA10" s="24" t="str">
        <x:v>SEAM_WIND_TORNADO_AXIS</x:v>
      </x:c>
      <x:c r="AB10" s="24" t="str">
        <x:v>Coordinate with foundation overturning to avoid double-counting.</x:v>
      </x:c>
      <x:c r="AC10"/>
    </x:row>
    <x:row r="11" ht="30" customHeight="1">
      <x:c r="A11" s="24" t="str">
        <x:v>CR_WIND_TORNADO_NACELLE</x:v>
      </x:c>
      <x:c r="B11" s="24" t="str">
        <x:v>v0.1</x:v>
      </x:c>
      <x:c r="C11" s="24" t="str">
        <x:v>WIND_TORNADO_WIND</x:v>
      </x:c>
      <x:c r="D11" s="24" t="str">
        <x:v>strong_wind_tornado</x:v>
      </x:c>
      <x:c r="E11" s="24" t="str">
        <x:v>land_based_wind</x:v>
      </x:c>
      <x:c r="F11" s="24" t="str">
        <x:v>NACELLE_STRUCTURAL</x:v>
      </x:c>
      <x:c r="G11" s="24" t="str">
        <x:v>Nacelle/drivetrain/yaw damage</x:v>
      </x:c>
      <x:c r="H11" s="24" t="str">
        <x:v>generator</x:v>
      </x:c>
      <x:c r="I11" s="24" t="str">
        <x:v>NACELLE</x:v>
      </x:c>
      <x:c r="J11" s="24" t="str">
        <x:v>NACELLE_STRUCTURE + DRIVETRAIN + YAW</x:v>
      </x:c>
      <x:c r="K11" s="24" t="str">
        <x:v>WIND_3SEC_GUST</x:v>
      </x:c>
      <x:c r="L11" s="24" t="str">
        <x:v>m/s</x:v>
      </x:c>
      <x:c r="M11" s="24" t="str">
        <x:v>n/a</x:v>
      </x:c>
      <x:c r="N11" s="24" t="str">
        <x:v>n/a</x:v>
      </x:c>
      <x:c r="O11" s="24" t="str">
        <x:v>n/a</x:v>
      </x:c>
      <x:c r="P11" s="24" t="str">
        <x:v>n/a</x:v>
      </x:c>
      <x:c r="Q11" s="24" t="str">
        <x:v>component_load</x:v>
      </x:c>
      <x:c r="R11" s="24" t="str">
        <x:v>yaw alignment; operating state</x:v>
      </x:c>
      <x:c r="S11" s="24" t="str">
        <x:v>nacelle design; turbine model</x:v>
      </x:c>
      <x:c r="T11" s="24" t="str">
        <x:v>VL_WIND_TORNADO_NACELLE</x:v>
      </x:c>
      <x:c r="U11" s="24" t="str">
        <x:v>TBD</x:v>
      </x:c>
      <x:c r="V11" s="24" t="str">
        <x:v>PARAM_WIND_TORNADO_NACELLE</x:v>
      </x:c>
      <x:c r="W11" s="24" t="str">
        <x:v>EV_PLACEHOLDER_WIND_NACELLE</x:v>
      </x:c>
      <x:c r="X11" s="24" t="str">
        <x:v>EMIT_WIND_TORNADO_NACELLE</x:v>
      </x:c>
      <x:c r="Y11" s="24" t="str">
        <x:v>METRIC_WIND_TORNADO_NACELLE</x:v>
      </x:c>
      <x:c r="Z11" s="24" t="str">
        <x:v>scaffold</x:v>
      </x:c>
      <x:c r="AA11" s="24" t="str">
        <x:v>SEAM_WIND_COMPONENT_SPLIT</x:v>
      </x:c>
      <x:c r="AB11" s="24" t="str">
        <x:v>Rollup until evidence forces split.</x:v>
      </x:c>
      <x:c r="AC11"/>
    </x:row>
    <x:row r="12" ht="30" customHeight="1">
      <x:c r="A12" s="24" t="str">
        <x:v>CR_WIND_TORNADO_FOUNDATION</x:v>
      </x:c>
      <x:c r="B12" s="24" t="str">
        <x:v>v0.1</x:v>
      </x:c>
      <x:c r="C12" s="24" t="str">
        <x:v>WIND_TORNADO_WIND</x:v>
      </x:c>
      <x:c r="D12" s="24" t="str">
        <x:v>strong_wind_tornado</x:v>
      </x:c>
      <x:c r="E12" s="24" t="str">
        <x:v>land_based_wind</x:v>
      </x:c>
      <x:c r="F12" s="24" t="str">
        <x:v>FOUNDATION_OVERTURNING</x:v>
      </x:c>
      <x:c r="G12" s="24" t="str">
        <x:v>Foundation/anchorage damage</x:v>
      </x:c>
      <x:c r="H12" s="24" t="str">
        <x:v>plant</x:v>
      </x:c>
      <x:c r="I12" s="24" t="str">
        <x:v>FOUNDATION</x:v>
      </x:c>
      <x:c r="J12" s="24" t="str">
        <x:v>FOUNDATION_BASE</x:v>
      </x:c>
      <x:c r="K12" s="24" t="str">
        <x:v>WIND_3SEC_GUST</x:v>
      </x:c>
      <x:c r="L12" s="24" t="str">
        <x:v>m/s</x:v>
      </x:c>
      <x:c r="M12" s="24" t="str">
        <x:v>n/a</x:v>
      </x:c>
      <x:c r="N12" s="24" t="str">
        <x:v>n/a</x:v>
      </x:c>
      <x:c r="O12" s="24" t="str">
        <x:v>n/a</x:v>
      </x:c>
      <x:c r="P12" s="24" t="str">
        <x:v>n/a</x:v>
      </x:c>
      <x:c r="Q12" s="24" t="str">
        <x:v>component_load</x:v>
      </x:c>
      <x:c r="R12" s="24" t="str">
        <x:v>soil condition; previous saturation</x:v>
      </x:c>
      <x:c r="S12" s="24" t="str">
        <x:v>foundation type; anchorage; tower base</x:v>
      </x:c>
      <x:c r="T12" s="24" t="str">
        <x:v>VL_WIND_TORNADO_FOUNDATION</x:v>
      </x:c>
      <x:c r="U12" s="24" t="str">
        <x:v>TBD</x:v>
      </x:c>
      <x:c r="V12" s="24" t="str">
        <x:v>PARAM_WIND_TORNADO_FOUNDATION</x:v>
      </x:c>
      <x:c r="W12" s="24" t="str">
        <x:v>EV_PLACEHOLDER_WIND_FOUNDATION</x:v>
      </x:c>
      <x:c r="X12" s="24" t="str">
        <x:v>EMIT_WIND_TORNADO_FOUNDATION</x:v>
      </x:c>
      <x:c r="Y12" s="24" t="str">
        <x:v>METRIC_WIND_TORNADO_FOUNDATION</x:v>
      </x:c>
      <x:c r="Z12" s="24" t="str">
        <x:v>scaffold</x:v>
      </x:c>
      <x:c r="AA12" s="24" t="str">
        <x:v>SEAM_WIND_TOWER_FOUNDATION_COUPLING</x:v>
      </x:c>
      <x:c r="AB12" s="24" t="str">
        <x:v>Coupling seam; record separately only if loss not double-counted.</x:v>
      </x:c>
      <x:c r="AC12"/>
    </x:row>
    <x:row r="13" ht="30" customHeight="1">
      <x:c r="A13" s="24" t="str">
        <x:v>CR_WILDFIRE_SOLAR_MODULE</x:v>
      </x:c>
      <x:c r="B13" s="24" t="str">
        <x:v>v0.1</x:v>
      </x:c>
      <x:c r="C13" s="24" t="str">
        <x:v>WILDFIRE_SOLAR</x:v>
      </x:c>
      <x:c r="D13" s="24" t="str">
        <x:v>wildfire</x:v>
      </x:c>
      <x:c r="E13" s="24" t="str">
        <x:v>solar_pv</x:v>
      </x:c>
      <x:c r="F13" s="24" t="str">
        <x:v>PV_MODULE_THERMAL</x:v>
      </x:c>
      <x:c r="G13" s="24" t="str">
        <x:v>PV module thermal damage</x:v>
      </x:c>
      <x:c r="H13" s="24" t="str">
        <x:v>generator</x:v>
      </x:c>
      <x:c r="I13" s="24" t="str">
        <x:v>PV_ARRAY</x:v>
      </x:c>
      <x:c r="J13" s="24" t="str">
        <x:v>PV_MODULE</x:v>
      </x:c>
      <x:c r="K13" s="24" t="str">
        <x:v>WILDFIRE_FLI</x:v>
      </x:c>
      <x:c r="L13" s="24" t="str">
        <x:v>kW/m or proxy</x:v>
      </x:c>
      <x:c r="M13" s="24" t="str">
        <x:v>n/a</x:v>
      </x:c>
      <x:c r="N13" s="24" t="str">
        <x:v>n/a</x:v>
      </x:c>
      <x:c r="O13" s="24" t="str">
        <x:v>n/a</x:v>
      </x:c>
      <x:c r="P13" s="24" t="str">
        <x:v>n/a</x:v>
      </x:c>
      <x:c r="Q13" s="24" t="str">
        <x:v>proximate</x:v>
      </x:c>
      <x:c r="R13" s="24" t="str">
        <x:v>residence time; vegetation management; suppression access</x:v>
      </x:c>
      <x:c r="S13" s="24" t="str">
        <x:v>module materials; ground clearance</x:v>
      </x:c>
      <x:c r="T13" s="24" t="str">
        <x:v>VL_WILDFIRE_SOLAR_MODULE</x:v>
      </x:c>
      <x:c r="U13" s="24" t="str">
        <x:v>TBD</x:v>
      </x:c>
      <x:c r="V13" s="24" t="str">
        <x:v>PARAM_WILDFIRE_SOLAR_MODULE</x:v>
      </x:c>
      <x:c r="W13" s="24" t="str">
        <x:v>EV_PLACEHOLDER_WILDFIRE_MODULE</x:v>
      </x:c>
      <x:c r="X13" s="24" t="str">
        <x:v>EMIT_WILDFIRE_SOLAR_MODULE</x:v>
      </x:c>
      <x:c r="Y13" s="24" t="str">
        <x:v>METRIC_WILDFIRE_SOLAR_MODULE</x:v>
      </x:c>
      <x:c r="Z13" s="24" t="str">
        <x:v>scaffold</x:v>
      </x:c>
      <x:c r="AA13" s="24" t="str">
        <x:v>SEAM_WILDFIRE_RESIDENCE_TIME</x:v>
      </x:c>
      <x:c r="AB13" s="24" t="str">
        <x:v>v1 univariate; residence time carried as deferred axis.</x:v>
      </x:c>
      <x:c r="AC13"/>
    </x:row>
    <x:row r="14" ht="30" customHeight="1">
      <x:c r="A14" s="24" t="str">
        <x:v>CR_WILDFIRE_SOLAR_INVERTER</x:v>
      </x:c>
      <x:c r="B14" s="24" t="str">
        <x:v>v0.1</x:v>
      </x:c>
      <x:c r="C14" s="24" t="str">
        <x:v>WILDFIRE_SOLAR</x:v>
      </x:c>
      <x:c r="D14" s="24" t="str">
        <x:v>wildfire</x:v>
      </x:c>
      <x:c r="E14" s="24" t="str">
        <x:v>solar_pv</x:v>
      </x:c>
      <x:c r="F14" s="24" t="str">
        <x:v>INVERTER_CABINET_THERMAL</x:v>
      </x:c>
      <x:c r="G14" s="24" t="str">
        <x:v>Inverter/cabinet thermal damage</x:v>
      </x:c>
      <x:c r="H14" s="24" t="str">
        <x:v>generator</x:v>
      </x:c>
      <x:c r="I14" s="24" t="str">
        <x:v>INVERTER_SYSTEM</x:v>
      </x:c>
      <x:c r="J14" s="24" t="str">
        <x:v>INVERTER</x:v>
      </x:c>
      <x:c r="K14" s="24" t="str">
        <x:v>WILDFIRE_FLI</x:v>
      </x:c>
      <x:c r="L14" s="24" t="str">
        <x:v>kW/m or proxy</x:v>
      </x:c>
      <x:c r="M14" s="24" t="str">
        <x:v>n/a</x:v>
      </x:c>
      <x:c r="N14" s="24" t="str">
        <x:v>n/a</x:v>
      </x:c>
      <x:c r="O14" s="24" t="str">
        <x:v>n/a</x:v>
      </x:c>
      <x:c r="P14" s="24" t="str">
        <x:v>n/a</x:v>
      </x:c>
      <x:c r="Q14" s="24" t="str">
        <x:v>proximate</x:v>
      </x:c>
      <x:c r="R14" s="24" t="str">
        <x:v>residence time; energized state</x:v>
      </x:c>
      <x:c r="S14" s="24" t="str">
        <x:v>cabinet rating; clearance; pad height</x:v>
      </x:c>
      <x:c r="T14" s="24" t="str">
        <x:v>VL_WILDFIRE_SOLAR_INVERTER</x:v>
      </x:c>
      <x:c r="U14" s="24" t="str">
        <x:v>TBD/states</x:v>
      </x:c>
      <x:c r="V14" s="24" t="str">
        <x:v>PARAM_WILDFIRE_SOLAR_INVERTER</x:v>
      </x:c>
      <x:c r="W14" s="24" t="str">
        <x:v>EV_PLACEHOLDER_WILDFIRE_ELECTRICAL</x:v>
      </x:c>
      <x:c r="X14" s="24" t="str">
        <x:v>EMIT_WILDFIRE_SOLAR_INVERTER</x:v>
      </x:c>
      <x:c r="Y14" s="24" t="str">
        <x:v>METRIC_WILDFIRE_SOLAR_INVERTER</x:v>
      </x:c>
      <x:c r="Z14" s="24" t="str">
        <x:v>scaffold</x:v>
      </x:c>
      <x:c r="AA14" s="24" t="str">
        <x:v>SEAM_WILDFIRE_RESIDENCE_TIME</x:v>
      </x:c>
      <x:c r="AB14" s="24" t="str">
        <x:v>Thermal damage not identical to module damage.</x:v>
      </x:c>
      <x:c r="AC14"/>
    </x:row>
    <x:row r="15" ht="30" customHeight="1">
      <x:c r="A15" s="24" t="str">
        <x:v>CR_WILDFIRE_SOLAR_COLLECTION</x:v>
      </x:c>
      <x:c r="B15" s="24" t="str">
        <x:v>v0.1</x:v>
      </x:c>
      <x:c r="C15" s="24" t="str">
        <x:v>WILDFIRE_SOLAR</x:v>
      </x:c>
      <x:c r="D15" s="24" t="str">
        <x:v>wildfire</x:v>
      </x:c>
      <x:c r="E15" s="24" t="str">
        <x:v>solar_pv</x:v>
      </x:c>
      <x:c r="F15" s="24" t="str">
        <x:v>CABLE_CONNECTOR_THERMAL</x:v>
      </x:c>
      <x:c r="G15" s="24" t="str">
        <x:v>Cable/connector thermal damage</x:v>
      </x:c>
      <x:c r="H15" s="24" t="str">
        <x:v>plant</x:v>
      </x:c>
      <x:c r="I15" s="24" t="str">
        <x:v>ELECTRICAL_COLLECTION</x:v>
      </x:c>
      <x:c r="J15" s="24" t="str">
        <x:v>CABLE_AC + CABLE_DC</x:v>
      </x:c>
      <x:c r="K15" s="24" t="str">
        <x:v>WILDFIRE_FLI</x:v>
      </x:c>
      <x:c r="L15" s="24" t="str">
        <x:v>kW/m or proxy</x:v>
      </x:c>
      <x:c r="M15" s="24" t="str">
        <x:v>n/a</x:v>
      </x:c>
      <x:c r="N15" s="24" t="str">
        <x:v>n/a</x:v>
      </x:c>
      <x:c r="O15" s="24" t="str">
        <x:v>n/a</x:v>
      </x:c>
      <x:c r="P15" s="24" t="str">
        <x:v>n/a</x:v>
      </x:c>
      <x:c r="Q15" s="24" t="str">
        <x:v>proximate</x:v>
      </x:c>
      <x:c r="R15" s="24" t="str">
        <x:v>residence time; vegetation management</x:v>
      </x:c>
      <x:c r="S15" s="24" t="str">
        <x:v>cable routing; insulation type; above-ground exposure</x:v>
      </x:c>
      <x:c r="T15" s="24" t="str">
        <x:v>VL_WILDFIRE_SOLAR_COLLECTION</x:v>
      </x:c>
      <x:c r="U15" s="24" t="str">
        <x:v>TBD</x:v>
      </x:c>
      <x:c r="V15" s="24" t="str">
        <x:v>PARAM_WILDFIRE_SOLAR_COLLECTION</x:v>
      </x:c>
      <x:c r="W15" s="24" t="str">
        <x:v>EV_PLACEHOLDER_WILDFIRE_COLLECTION</x:v>
      </x:c>
      <x:c r="X15" s="24" t="str">
        <x:v>EMIT_WILDFIRE_SOLAR_COLLECTION</x:v>
      </x:c>
      <x:c r="Y15" s="24" t="str">
        <x:v>METRIC_WILDFIRE_SOLAR_COLLECTION</x:v>
      </x:c>
      <x:c r="Z15" s="24" t="str">
        <x:v>scaffold</x:v>
      </x:c>
      <x:c r="AA15" s="24" t="str">
        <x:v>SEAM_WILDFIRE_COLLECTION_EXPOSURE</x:v>
      </x:c>
      <x:c r="AB15" s="24" t="str">
        <x:v>Subset of electrical collection likely exposed; f needs sourcing.</x:v>
      </x:c>
      <x:c r="AC15"/>
    </x:row>
  </x:sheetData>
  <x:dataValidations count="1">
    <x:dataValidation type="list" sqref="V2:V15">
      <x:formula1>Lists!$A$2:$A$8</x:formula1>
    </x:dataValidation>
  </x:dataValidations>
  <x:pageMargins left="0.7" right="0.7" top="0.75" bottom="0.75" header="0.3" footer="0.3"/>
  <x:tableParts count="1">
    <x:tablePart xmlns:r="http://schemas.openxmlformats.org/officeDocument/2006/relationships" r:id="R81038ab28e004bb9"/>
  </x:tableParts>
</x:worksheet>
</file>

<file path=xl/worksheets/sheet8.xml><?xml version="1.0" encoding="utf-8"?>
<x:worksheet xmlns:x="http://schemas.openxmlformats.org/spreadsheetml/2006/main">
  <x:sheetFormatPr defaultRowHeight="15"/>
  <x:cols>
    <x:col min="1" max="1" width="22" hidden="0" customWidth="1"/>
    <x:col min="2" max="2" width="18" hidden="0" customWidth="1"/>
    <x:col min="3" max="3" width="34" hidden="0" customWidth="1"/>
    <x:col min="4" max="4" width="16" hidden="0" customWidth="1"/>
    <x:col min="5" max="5" width="18" hidden="0" customWidth="1"/>
    <x:col min="6" max="6" width="22" hidden="0" customWidth="1"/>
    <x:col min="7" max="7" width="20" hidden="0" customWidth="1"/>
    <x:col min="8" max="8" width="18" hidden="0" customWidth="1"/>
    <x:col min="9" max="9" width="42" hidden="0" customWidth="1"/>
    <x:col min="10" max="10" width="30" hidden="0" customWidth="1"/>
    <x:col min="11" max="11" width="32" hidden="0" customWidth="1"/>
    <x:col min="12" max="12" width="15" hidden="0" customWidth="1"/>
    <x:col min="13" max="13" width="16" hidden="0" customWidth="1"/>
    <x:col min="14" max="14" width="28" hidden="0" customWidth="1"/>
    <x:col min="15" max="15" width="40" hidden="0" customWidth="1"/>
    <x:col min="16" max="16" width="40" hidden="0" customWidth="1"/>
  </x:cols>
  <x:sheetData>
    <x:row r="1" ht="30" customHeight="1">
      <x:c r="A1" s="46" t="str">
        <x:v>x_axis_id</x:v>
      </x:c>
      <x:c r="B1" s="46" t="str">
        <x:v>hazard</x:v>
      </x:c>
      <x:c r="C1" s="46" t="str">
        <x:v>x_axis_label</x:v>
      </x:c>
      <x:c r="D1" s="46" t="str">
        <x:v>unit_internal</x:v>
      </x:c>
      <x:c r="E1" s="46" t="str">
        <x:v>source_units_allowed</x:v>
      </x:c>
      <x:c r="F1" s="46" t="str">
        <x:v>chain_node</x:v>
      </x:c>
      <x:c r="G1" s="46" t="str">
        <x:v>axis_role</x:v>
      </x:c>
      <x:c r="H1" s="46" t="str">
        <x:v>candidate_status</x:v>
      </x:c>
      <x:c r="I1" s="46" t="str">
        <x:v>composite_or_split_logic</x:v>
      </x:c>
      <x:c r="J1" s="46" t="str">
        <x:v>default_conditioners</x:v>
      </x:c>
      <x:c r="K1" s="46" t="str">
        <x:v>default_selectors</x:v>
      </x:c>
      <x:c r="L1" s="46" t="str">
        <x:v>sourceability</x:v>
      </x:c>
      <x:c r="M1" s="46" t="str">
        <x:v>status</x:v>
      </x:c>
      <x:c r="N1" s="46" t="str">
        <x:v>bridge_axis_id</x:v>
      </x:c>
      <x:c r="O1" s="46" t="str">
        <x:v>source_notes</x:v>
      </x:c>
      <x:c r="P1" s="46" t="str">
        <x:v>notes</x:v>
      </x:c>
      <x:c r="Q1" s="37"/>
      <x:c r="R1" s="37"/>
      <x:c r="S1" s="37"/>
      <x:c r="T1" s="37"/>
      <x:c r="U1" s="37"/>
      <x:c r="V1" s="37"/>
      <x:c r="W1" s="37"/>
      <x:c r="X1" s="37"/>
      <x:c r="Y1" s="37"/>
      <x:c r="Z1" s="37"/>
    </x:row>
    <x:row r="2" ht="30" customHeight="1">
      <x:c r="A2" s="24" t="str">
        <x:v>HAIL_DIAMETER_MESH_EQUIV</x:v>
      </x:c>
      <x:c r="B2" s="24" t="str">
        <x:v>hail</x:v>
      </x:c>
      <x:c r="C2" s="24" t="str">
        <x:v>Maximum hail diameter / MESH-equivalent hail size</x:v>
      </x:c>
      <x:c r="D2" s="24" t="str">
        <x:v>mm</x:v>
      </x:c>
      <x:c r="E2" s="24" t="str">
        <x:v>in; mm</x:v>
      </x:c>
      <x:c r="F2" s="24" t="str">
        <x:v>hazard_output/proximate</x:v>
      </x:c>
      <x:c r="G2" s="24" t="str">
        <x:v>primary operational x-axis</x:v>
      </x:c>
      <x:c r="H2" s="24" t="str">
        <x:v>v1 canonical</x:v>
      </x:c>
      <x:c r="I2" s="24" t="str">
        <x:v>Provider-native axis for reports, MESH grids, vendor hail maps, and return-period size layers.</x:v>
      </x:c>
      <x:c r="J2" s="24" t="str">
        <x:v>stow angle; warning lead time; stow execution</x:v>
      </x:c>
      <x:c r="K2" s="24" t="str">
        <x:v>module glass thickness; module type; tempered glass; frame/support design</x:v>
      </x:c>
      <x:c r="L2" s="24" t="str">
        <x:v>High</x:v>
      </x:c>
      <x:c r="M2" s="24" t="str">
        <x:v>selected</x:v>
      </x:c>
      <x:c r="N2" s="24" t="str">
        <x:v>HAIL_DIAMETER_TO_IMPACT_KE_PROXY</x:v>
      </x:c>
      <x:c r="O2" s="24" t="str">
        <x:v>NOAA Storm Events reports hail magnitude in inches; MESH displays inches and calculates in mm.</x:v>
      </x:c>
      <x:c r="P2" s="24" t="str">
        <x:v>Use for ingestion and mapping. Not itself full physics; bridge when deriving from tests or physics.</x:v>
      </x:c>
    </x:row>
    <x:row r="3" ht="30" customHeight="1">
      <x:c r="A3" s="24" t="str">
        <x:v>HAIL_IMPACT_KE_PROXY</x:v>
      </x:c>
      <x:c r="B3" s="24" t="str">
        <x:v>hail</x:v>
      </x:c>
      <x:c r="C3" s="24" t="str">
        <x:v>Per-stone impact kinetic energy proxy</x:v>
      </x:c>
      <x:c r="D3" s="24" t="str">
        <x:v>J/impact</x:v>
      </x:c>
      <x:c r="E3" s="24" t="str">
        <x:v>derived only</x:v>
      </x:c>
      <x:c r="F3" s="24" t="str">
        <x:v>physics_bridge/component_load</x:v>
      </x:c>
      <x:c r="G3" s="24" t="str">
        <x:v>derived physics bridge</x:v>
      </x:c>
      <x:c r="H3" s="24" t="str">
        <x:v>bridge</x:v>
      </x:c>
      <x:c r="I3" s="24" t="str">
        <x:v>E = 0.5 × m(D) × v(D)^2; mass and velocity assumptions must be versioned.</x:v>
      </x:c>
      <x:c r="J3" s="24" t="str">
        <x:v>stow angle; impact angle; panel tilt</x:v>
      </x:c>
      <x:c r="K3" s="24" t="str">
        <x:v>module glass thickness; module type; tempered glass; frame/support design</x:v>
      </x:c>
      <x:c r="L3" s="24" t="str">
        <x:v>Medium</x:v>
      </x:c>
      <x:c r="M3" s="24" t="str">
        <x:v>bridge</x:v>
      </x:c>
      <x:c r="N3" s="24" t="str">
        <x:v>n/a</x:v>
      </x:c>
      <x:c r="O3" s="24" t="str">
        <x:v>DOE/FEMP IEC hail-test summary gives diameter, mass, and velocity test points.</x:v>
      </x:c>
      <x:c r="P3" s="24" t="str">
        <x:v>Do not label as J/m² unless a source supplies impact count/concentration or areal KE flux.</x:v>
      </x:c>
    </x:row>
    <x:row r="4" ht="30" customHeight="1">
      <x:c r="A4" s="24" t="str">
        <x:v>FLOOD_DEPTH</x:v>
      </x:c>
      <x:c r="B4" s="24" t="str">
        <x:v>flood</x:v>
      </x:c>
      <x:c r="C4" s="24" t="str">
        <x:v>Water depth relative to equipment elevation</x:v>
      </x:c>
      <x:c r="D4" s="24" t="str">
        <x:v>m</x:v>
      </x:c>
      <x:c r="E4" s="24" t="str">
        <x:v>m; ft</x:v>
      </x:c>
      <x:c r="F4" s="24" t="str">
        <x:v>proximate</x:v>
      </x:c>
      <x:c r="G4" s="24" t="str">
        <x:v>primary operational x-axis</x:v>
      </x:c>
      <x:c r="H4" s="24" t="str">
        <x:v>Primary</x:v>
      </x:c>
      <x:c r="I4" s="24" t="str">
        <x:v>Depth curve for electrical ingress/submergence.</x:v>
      </x:c>
      <x:c r="J4" s="24" t="str">
        <x:v>energized state; duration if material</x:v>
      </x:c>
      <x:c r="K4" s="24" t="str">
        <x:v>pad height; IP/NEMA rating; enclosure elevation</x:v>
      </x:c>
      <x:c r="L4" s="24" t="str">
        <x:v>High</x:v>
      </x:c>
      <x:c r="M4" s="24" t="str">
        <x:v>candidate</x:v>
      </x:c>
      <x:c r="N4" s="24" t="str">
        <x:v>n/a</x:v>
      </x:c>
      <x:c r="O4" s="24" t="str">
        <x:v>Site/elevation geometry source required for f.</x:v>
      </x:c>
      <x:c r="P4" s="24" t="str">
        <x:v>f is site geometry.</x:v>
      </x:c>
    </x:row>
    <x:row r="5" ht="30" customHeight="1">
      <x:c r="A5" s="24" t="str">
        <x:v>FLOOD_VELOCITY</x:v>
      </x:c>
      <x:c r="B5" s="24" t="str">
        <x:v>flood</x:v>
      </x:c>
      <x:c r="C5" s="24" t="str">
        <x:v>Flood velocity / flow intensity</x:v>
      </x:c>
      <x:c r="D5" s="24" t="str">
        <x:v>m/s</x:v>
      </x:c>
      <x:c r="E5" s="24" t="str">
        <x:v>m/s; ft/s</x:v>
      </x:c>
      <x:c r="F5" s="24" t="str">
        <x:v>component_load</x:v>
      </x:c>
      <x:c r="G5" s="24" t="str">
        <x:v>split axis</x:v>
      </x:c>
      <x:c r="H5" s="24" t="str">
        <x:v>Split axis</x:v>
      </x:c>
      <x:c r="I5" s="24" t="str">
        <x:v>Separate curve for scour/structural load rather than forcing 2-D depth×velocity.</x:v>
      </x:c>
      <x:c r="J5" s="24" t="str">
        <x:v>soil saturation; debris load</x:v>
      </x:c>
      <x:c r="K5" s="24" t="str">
        <x:v>foundation/pile type; embedment</x:v>
      </x:c>
      <x:c r="L5" s="24" t="str">
        <x:v>Medium</x:v>
      </x:c>
      <x:c r="M5" s="24" t="str">
        <x:v>candidate</x:v>
      </x:c>
      <x:c r="N5" s="24" t="str">
        <x:v>n/a</x:v>
      </x:c>
      <x:c r="O5" s="24" t="str">
        <x:v>Hydraulic/engineering source pending.</x:v>
      </x:c>
      <x:c r="P5" s="24" t="str">
        <x:v>Used for foundation/scour records.</x:v>
      </x:c>
    </x:row>
    <x:row r="6" ht="30" customHeight="1">
      <x:c r="A6" s="24" t="str">
        <x:v>WIND_3SEC_GUST</x:v>
      </x:c>
      <x:c r="B6" s="24" t="str">
        <x:v>strong_wind_tornado</x:v>
      </x:c>
      <x:c r="C6" s="24" t="str">
        <x:v>3-second gust wind speed</x:v>
      </x:c>
      <x:c r="D6" s="24" t="str">
        <x:v>m/s</x:v>
      </x:c>
      <x:c r="E6" s="24" t="str">
        <x:v>m/s; mph</x:v>
      </x:c>
      <x:c r="F6" s="24" t="str">
        <x:v>component_load</x:v>
      </x:c>
      <x:c r="G6" s="24" t="str">
        <x:v>primary structural x-axis</x:v>
      </x:c>
      <x:c r="H6" s="24" t="str">
        <x:v>Primary</x:v>
      </x:c>
      <x:c r="I6" s="24" t="str">
        <x:v>Standard structural wind axis; tornado proxy may require bridge.</x:v>
      </x:c>
      <x:c r="J6" s="24" t="str">
        <x:v>operating/feathered state; yaw alignment</x:v>
      </x:c>
      <x:c r="K6" s="24" t="str">
        <x:v>IEC turbine class; hub height; survival speed</x:v>
      </x:c>
      <x:c r="L6" s="24" t="str">
        <x:v>High</x:v>
      </x:c>
      <x:c r="M6" s="24" t="str">
        <x:v>candidate</x:v>
      </x:c>
      <x:c r="N6" s="24" t="str">
        <x:v>TORNADO_EF_TO_GUST_BRIDGE_TBD</x:v>
      </x:c>
      <x:c r="O6" s="24" t="str">
        <x:v>Wind-field conversion source pending.</x:v>
      </x:c>
      <x:c r="P6" s="24" t="str">
        <x:v>Use consistent height/exposure conversion.</x:v>
      </x:c>
    </x:row>
    <x:row r="7" ht="30" customHeight="1">
      <x:c r="A7" s="24" t="str">
        <x:v>TORNADO_WIND_SPEED_PROXY</x:v>
      </x:c>
      <x:c r="B7" s="24" t="str">
        <x:v>strong_wind_tornado</x:v>
      </x:c>
      <x:c r="C7" s="24" t="str">
        <x:v>Tornado wind speed / EF proxy</x:v>
      </x:c>
      <x:c r="D7" s="24" t="str">
        <x:v>m/s or EF rating</x:v>
      </x:c>
      <x:c r="E7" s="24" t="str">
        <x:v>EF; m/s; mph</x:v>
      </x:c>
      <x:c r="F7" s="24" t="str">
        <x:v>distal/proxy</x:v>
      </x:c>
      <x:c r="G7" s="24" t="str">
        <x:v>fallback/bridge axis</x:v>
      </x:c>
      <x:c r="H7" s="24" t="str">
        <x:v>Fallback/bridge</x:v>
      </x:c>
      <x:c r="I7" s="24" t="str">
        <x:v>Bridge EF/intensity to turbine-level gust/loading where possible.</x:v>
      </x:c>
      <x:c r="J7" s="24" t="str">
        <x:v>operating/feathered state</x:v>
      </x:c>
      <x:c r="K7" s="24" t="str">
        <x:v>turbine class; hub height</x:v>
      </x:c>
      <x:c r="L7" s="24" t="str">
        <x:v>Medium</x:v>
      </x:c>
      <x:c r="M7" s="24" t="str">
        <x:v>candidate</x:v>
      </x:c>
      <x:c r="N7" s="24" t="str">
        <x:v>TORNADO_EF_TO_GUST_BRIDGE_TBD</x:v>
      </x:c>
      <x:c r="O7" s="24" t="str">
        <x:v>Tornado axis bridge required before using EF directly.</x:v>
      </x:c>
      <x:c r="P7" s="24" t="str">
        <x:v>Avoid mixing EF category directly with component loading without bridge.</x:v>
      </x:c>
    </x:row>
    <x:row r="8" ht="30" customHeight="1">
      <x:c r="A8" s="24" t="str">
        <x:v>WILDFIRE_FLI</x:v>
      </x:c>
      <x:c r="B8" s="24" t="str">
        <x:v>wildfire</x:v>
      </x:c>
      <x:c r="C8" s="24" t="str">
        <x:v>Fireline intensity / thermal exposure proxy</x:v>
      </x:c>
      <x:c r="D8" s="24" t="str">
        <x:v>kW/m</x:v>
      </x:c>
      <x:c r="E8" s="24" t="str">
        <x:v>kW/m; proxy class</x:v>
      </x:c>
      <x:c r="F8" s="24" t="str">
        <x:v>proximate</x:v>
      </x:c>
      <x:c r="G8" s="24" t="str">
        <x:v>v1 primary</x:v>
      </x:c>
      <x:c r="H8" s="24" t="str">
        <x:v>v1 primary</x:v>
      </x:c>
      <x:c r="I8" s="24" t="str">
        <x:v>Univariate v1 axis; residence time deferred.</x:v>
      </x:c>
      <x:c r="J8" s="24" t="str">
        <x:v>residence time; vegetation management; suppression access</x:v>
      </x:c>
      <x:c r="K8" s="24" t="str">
        <x:v>clearance; materials; cabinet rating</x:v>
      </x:c>
      <x:c r="L8" s="24" t="str">
        <x:v>Medium</x:v>
      </x:c>
      <x:c r="M8" s="24" t="str">
        <x:v>candidate</x:v>
      </x:c>
      <x:c r="N8" s="24" t="str">
        <x:v>WILDFIRE_DURATION_BRIDGE_DEFERRED</x:v>
      </x:c>
      <x:c r="O8" s="24" t="str">
        <x:v>Source pending.</x:v>
      </x:c>
      <x:c r="P8" s="24" t="str">
        <x:v>Known 2-D seam with duration/residence time.</x:v>
      </x:c>
    </x:row>
    <x:row r="9" ht="30" customHeight="1">
      <x:c r="A9" s="24" t="str">
        <x:v>WILDFIRE_RESIDENCE_TIME</x:v>
      </x:c>
      <x:c r="B9" s="24" t="str">
        <x:v>wildfire</x:v>
      </x:c>
      <x:c r="C9" s="24" t="str">
        <x:v>Residence time / exposure duration</x:v>
      </x:c>
      <x:c r="D9" s="24" t="str">
        <x:v>minutes</x:v>
      </x:c>
      <x:c r="E9" s="24" t="str">
        <x:v>minutes; hours</x:v>
      </x:c>
      <x:c r="F9" s="24" t="str">
        <x:v>proximate</x:v>
      </x:c>
      <x:c r="G9" s="24" t="str">
        <x:v>deferred axis</x:v>
      </x:c>
      <x:c r="H9" s="24" t="str">
        <x:v>Deferred axis</x:v>
      </x:c>
      <x:c r="I9" s="24" t="str">
        <x:v>Carry as deferred axis/open seam unless evidence forces true 2-D.</x:v>
      </x:c>
      <x:c r="J9" s="24" t="str">
        <x:v>fuel continuity; suppression access</x:v>
      </x:c>
      <x:c r="K9" s="24" t="str">
        <x:v>clearance; material thermal mass</x:v>
      </x:c>
      <x:c r="L9" s="24" t="str">
        <x:v>Low/Medium</x:v>
      </x:c>
      <x:c r="M9" s="24" t="str">
        <x:v>deferred</x:v>
      </x:c>
      <x:c r="N9" s="24" t="str">
        <x:v>n/a</x:v>
      </x:c>
      <x:c r="O9" s="24" t="str">
        <x:v>Source pending.</x:v>
      </x:c>
      <x:c r="P9" s="24" t="str">
        <x:v>Not a v1 x-axis unless required.</x:v>
      </x:c>
    </x:row>
  </x:sheetData>
  <x:pageMargins left="0.7" right="0.7" top="0.75" bottom="0.75" header="0.3" footer="0.3"/>
  <x:tableParts count="1">
    <x:tablePart xmlns:r="http://schemas.openxmlformats.org/officeDocument/2006/relationships" r:id="R00bde6e2e3474ac8"/>
  </x:tableParts>
</x:worksheet>
</file>

<file path=xl/worksheets/sheet9.xml><?xml version="1.0" encoding="utf-8"?>
<x:worksheet xmlns:x="http://schemas.openxmlformats.org/spreadsheetml/2006/main">
  <x:sheetFormatPr defaultRowHeight="15"/>
  <x:cols>
    <x:col min="1" max="1" width="28" hidden="0" customWidth="1"/>
    <x:col min="2" max="2" width="18" hidden="0" customWidth="1"/>
    <x:col min="3" max="3" width="18" hidden="0" customWidth="1"/>
    <x:col min="4" max="4" width="28" hidden="0" customWidth="1"/>
    <x:col min="5" max="5" width="32" hidden="0" customWidth="1"/>
    <x:col min="6" max="6" width="22" hidden="0" customWidth="1"/>
    <x:col min="7" max="7" width="46" hidden="0" customWidth="1"/>
    <x:col min="8" max="8" width="32" hidden="0" customWidth="1"/>
    <x:col min="9" max="9" width="32" hidden="0" customWidth="1"/>
    <x:col min="10" max="10" width="28" hidden="0" customWidth="1"/>
    <x:col min="11" max="11" width="42" hidden="0" customWidth="1"/>
  </x:cols>
  <x:sheetData>
    <x:row r="1" ht="30" customHeight="1">
      <x:c r="A1" s="46" t="str">
        <x:v>condition_selector_id</x:v>
      </x:c>
      <x:c r="B1" s="46" t="str">
        <x:v>role</x:v>
      </x:c>
      <x:c r="C1" s="46" t="str">
        <x:v>cell_id</x:v>
      </x:c>
      <x:c r="D1" s="46" t="str">
        <x:v>related_x_axis_id</x:v>
      </x:c>
      <x:c r="E1" s="46" t="str">
        <x:v>label</x:v>
      </x:c>
      <x:c r="F1" s="46" t="str">
        <x:v>type</x:v>
      </x:c>
      <x:c r="G1" s="46" t="str">
        <x:v>when_to_use</x:v>
      </x:c>
      <x:c r="H1" s="46" t="str">
        <x:v>source_type</x:v>
      </x:c>
      <x:c r="I1" s="46" t="str">
        <x:v>default_treatment</x:v>
      </x:c>
      <x:c r="J1" s="46" t="str">
        <x:v>open_seam_id</x:v>
      </x:c>
      <x:c r="K1" s="46" t="str">
        <x:v>notes</x:v>
      </x:c>
      <x:c r="L1" s="37"/>
      <x:c r="M1" s="37"/>
      <x:c r="N1" s="37"/>
      <x:c r="O1" s="37"/>
      <x:c r="P1" s="37"/>
      <x:c r="Q1" s="37"/>
      <x:c r="R1" s="37"/>
      <x:c r="S1" s="37"/>
      <x:c r="T1" s="37"/>
      <x:c r="U1" s="37"/>
      <x:c r="V1" s="37"/>
      <x:c r="W1" s="37"/>
      <x:c r="X1" s="37"/>
      <x:c r="Y1" s="37"/>
      <x:c r="Z1" s="37"/>
    </x:row>
    <x:row r="2" ht="30" customHeight="1">
      <x:c r="A2" s="24" t="str">
        <x:v>CS_HAIL_IMPACT_KE_BRIDGE</x:v>
      </x:c>
      <x:c r="B2" s="24" t="str">
        <x:v>bridge_assumption</x:v>
      </x:c>
      <x:c r="C2" s="24" t="str">
        <x:v>HAIL_SOLAR</x:v>
      </x:c>
      <x:c r="D2" s="24" t="str">
        <x:v>HAIL_DIAMETER_MESH_EQUIV</x:v>
      </x:c>
      <x:c r="E2" s="24" t="str">
        <x:v>Diameter-to-impact-energy bridge assumption</x:v>
      </x:c>
      <x:c r="F2" s="24" t="str">
        <x:v>model_assumption</x:v>
      </x:c>
      <x:c r="G2" s="24" t="str">
        <x:v>Required when a diameter-native hazard layer is used with a KE-native lab/test anchor.</x:v>
      </x:c>
      <x:c r="H2" s="24" t="str">
        <x:v>Axis_Bridges + source assumptions</x:v>
      </x:c>
      <x:c r="I2" s="24" t="str">
        <x:v>Versioned assumption, not hidden curve parameter</x:v>
      </x:c>
      <x:c r="J2" s="24" t="str">
        <x:v>SEAM_HAIL_AXIS_BRIDGE</x:v>
      </x:c>
      <x:c r="K2" s="24" t="str">
        <x:v>E_proxy = 0.5 × m(D) × v(D)^2; unit is J/impact, not J/m².</x:v>
      </x:c>
    </x:row>
    <x:row r="3" ht="30" customHeight="1">
      <x:c r="A3" s="24" t="str">
        <x:v>CS_STOW_ANGLE</x:v>
      </x:c>
      <x:c r="B3" s="24" t="str">
        <x:v>conditioner</x:v>
      </x:c>
      <x:c r="C3" s="24" t="str">
        <x:v>HAIL_SOLAR</x:v>
      </x:c>
      <x:c r="D3" s="24" t="str">
        <x:v>HAIL_DIAMETER_MESH_EQUIV</x:v>
      </x:c>
      <x:c r="E3" s="24" t="str">
        <x:v>Actual tracker stow angle during event</x:v>
      </x:c>
      <x:c r="F3" s="24" t="str">
        <x:v>event_state</x:v>
      </x:c>
      <x:c r="G3" s="24" t="str">
        <x:v>Hail impact angle and exposed module area depend on stow.</x:v>
      </x:c>
      <x:c r="H3" s="24" t="str">
        <x:v>site/operator record or assumption</x:v>
      </x:c>
      <x:c r="I3" s="24" t="str">
        <x:v>Scenario input; not fixed selector</x:v>
      </x:c>
      <x:c r="J3" s="24" t="str">
        <x:v>SEAM_STOW_HAZARD_CORRELATION</x:v>
      </x:c>
      <x:c r="K3" s="24" t="str">
        <x:v>May correlate with forecast quality and warning lead time.</x:v>
      </x:c>
    </x:row>
    <x:row r="4" ht="30" customHeight="1">
      <x:c r="A4" s="24" t="str">
        <x:v>CS_STOW_EXECUTION</x:v>
      </x:c>
      <x:c r="B4" s="24" t="str">
        <x:v>conditioner</x:v>
      </x:c>
      <x:c r="C4" s="24" t="str">
        <x:v>HAIL_SOLAR</x:v>
      </x:c>
      <x:c r="D4" s="24" t="str">
        <x:v>HAIL_DIAMETER_MESH_EQUIV</x:v>
      </x:c>
      <x:c r="E4" s="24" t="str">
        <x:v>Whether stow command executed</x:v>
      </x:c>
      <x:c r="F4" s="24" t="str">
        <x:v>event_state</x:v>
      </x:c>
      <x:c r="G4" s="24" t="str">
        <x:v>Needed when stow command may fail or be unavailable.</x:v>
      </x:c>
      <x:c r="H4" s="24" t="str">
        <x:v>SCADA/operator record</x:v>
      </x:c>
      <x:c r="I4" s="24" t="str">
        <x:v>Default assumption until site-specific data</x:v>
      </x:c>
      <x:c r="J4" s="24" t="str">
        <x:v>SEAM_STOW_HAZARD_CORRELATION</x:v>
      </x:c>
      <x:c r="K4" s="24" t="str">
        <x:v>Could become stochastic P(stowed | forecast).</x:v>
      </x:c>
    </x:row>
    <x:row r="5" ht="30" customHeight="1">
      <x:c r="A5" s="24" t="str">
        <x:v>CS_HAIL_WARNING_LEAD_TIME</x:v>
      </x:c>
      <x:c r="B5" s="24" t="str">
        <x:v>conditioner</x:v>
      </x:c>
      <x:c r="C5" s="24" t="str">
        <x:v>HAIL_SOLAR</x:v>
      </x:c>
      <x:c r="D5" s="24" t="str">
        <x:v>HAIL_DIAMETER_MESH_EQUIV</x:v>
      </x:c>
      <x:c r="E5" s="24" t="str">
        <x:v>Warning lead time / forecast quality</x:v>
      </x:c>
      <x:c r="F5" s="24" t="str">
        <x:v>event_state</x:v>
      </x:c>
      <x:c r="G5" s="24" t="str">
        <x:v>Controls whether hail stow can be executed before the event; may correlate with hail intensity and event timing.</x:v>
      </x:c>
      <x:c r="H5" s="24" t="str">
        <x:v>weather alert / operator log / assumption</x:v>
      </x:c>
      <x:c r="I5" s="24" t="str">
        <x:v>Scenario input; may become stochastic</x:v>
      </x:c>
      <x:c r="J5" s="24" t="str">
        <x:v>SEAM_STOW_HAZARD_CORRELATION</x:v>
      </x:c>
      <x:c r="K5" s="24" t="str">
        <x:v>Future: P(stowed | forecast quality, lead time, controls).</x:v>
      </x:c>
    </x:row>
    <x:row r="6" ht="30" customHeight="1">
      <x:c r="A6" s="24" t="str">
        <x:v>CS_GLASS_THICKNESS</x:v>
      </x:c>
      <x:c r="B6" s="24" t="str">
        <x:v>selector</x:v>
      </x:c>
      <x:c r="C6" s="24" t="str">
        <x:v>HAIL_SOLAR</x:v>
      </x:c>
      <x:c r="D6" s="24" t="str">
        <x:v>HAIL_DIAMETER_MESH_EQUIV</x:v>
      </x:c>
      <x:c r="E6" s="24" t="str">
        <x:v>PV module glass thickness</x:v>
      </x:c>
      <x:c r="F6" s="24" t="str">
        <x:v>fixed_attribute</x:v>
      </x:c>
      <x:c r="G6" s="24" t="str">
        <x:v>Selects or shifts module damage curve.</x:v>
      </x:c>
      <x:c r="H6" s="24" t="str">
        <x:v>asset spec / manufacturer</x:v>
      </x:c>
      <x:c r="I6" s="24" t="str">
        <x:v>Unknown placeholder</x:v>
      </x:c>
      <x:c r="J6" s="24" t="str">
        <x:v>SEAM_MODULE_SPECS</x:v>
      </x:c>
      <x:c r="K6" s="24" t="str">
        <x:v>Substrate marks glass thickness as hazard-linked but unsourced.</x:v>
      </x:c>
    </x:row>
    <x:row r="7" ht="30" customHeight="1">
      <x:c r="A7" s="24" t="str">
        <x:v>CS_MODULE_TYPE</x:v>
      </x:c>
      <x:c r="B7" s="24" t="str">
        <x:v>selector</x:v>
      </x:c>
      <x:c r="C7" s="24" t="str">
        <x:v>HAIL_SOLAR</x:v>
      </x:c>
      <x:c r="D7" s="24" t="str">
        <x:v>HAIL_DIAMETER_MESH_EQUIV</x:v>
      </x:c>
      <x:c r="E7" s="24" t="str">
        <x:v>Module type / glass-glass / glass-backsheet</x:v>
      </x:c>
      <x:c r="F7" s="24" t="str">
        <x:v>fixed_attribute</x:v>
      </x:c>
      <x:c r="G7" s="24" t="str">
        <x:v>May select module vulnerability family.</x:v>
      </x:c>
      <x:c r="H7" s="24" t="str">
        <x:v>asset spec</x:v>
      </x:c>
      <x:c r="I7" s="24" t="str">
        <x:v>Unknown placeholder</x:v>
      </x:c>
      <x:c r="J7" s="24" t="str">
        <x:v>SEAM_MODULE_SPECS</x:v>
      </x:c>
      <x:c r="K7" s="24" t="str">
        <x:v>Also relevant to wildfire thermal curve.</x:v>
      </x:c>
    </x:row>
    <x:row r="8" ht="30" customHeight="1">
      <x:c r="A8" s="24" t="str">
        <x:v>CS_INVERTER_PAD_ELEVATION</x:v>
      </x:c>
      <x:c r="B8" s="24" t="str">
        <x:v>selector</x:v>
      </x:c>
      <x:c r="C8" s="24" t="str">
        <x:v>FLOOD_SOLAR</x:v>
      </x:c>
      <x:c r="D8" s="24" t="str">
        <x:v>FLOOD_DEPTH</x:v>
      </x:c>
      <x:c r="E8" s="24" t="str">
        <x:v>Inverter pad elevation</x:v>
      </x:c>
      <x:c r="F8" s="24" t="str">
        <x:v>fixed_attribute/site_geometry</x:v>
      </x:c>
      <x:c r="G8" s="24" t="str">
        <x:v>Determines if inverter is below flood depth.</x:v>
      </x:c>
      <x:c r="H8" s="24" t="str">
        <x:v>site survey / engineering drawings</x:v>
      </x:c>
      <x:c r="I8" s="24" t="str">
        <x:v>Generic placeholder</x:v>
      </x:c>
      <x:c r="J8" s="24" t="str">
        <x:v>SEAM_FLOOD_ELEVATION_GEOMETRY</x:v>
      </x:c>
      <x:c r="K8" s="24" t="str">
        <x:v>Core flood f input.</x:v>
      </x:c>
    </x:row>
    <x:row r="9" ht="30" customHeight="1">
      <x:c r="A9" s="24" t="str">
        <x:v>CS_TRANSFORMER_ELEVATION</x:v>
      </x:c>
      <x:c r="B9" s="24" t="str">
        <x:v>selector</x:v>
      </x:c>
      <x:c r="C9" s="24" t="str">
        <x:v>FLOOD_SOLAR</x:v>
      </x:c>
      <x:c r="D9" s="24" t="str">
        <x:v>FLOOD_DEPTH</x:v>
      </x:c>
      <x:c r="E9" s="24" t="str">
        <x:v>Transformer/switchgear elevation</x:v>
      </x:c>
      <x:c r="F9" s="24" t="str">
        <x:v>fixed_attribute/site_geometry</x:v>
      </x:c>
      <x:c r="G9" s="24" t="str">
        <x:v>Determines substation exposure.</x:v>
      </x:c>
      <x:c r="H9" s="24" t="str">
        <x:v>site survey / one-line drawings</x:v>
      </x:c>
      <x:c r="I9" s="24" t="str">
        <x:v>Generic placeholder</x:v>
      </x:c>
      <x:c r="J9" s="24" t="str">
        <x:v>SEAM_FLOOD_ELEVATION_GEOMETRY</x:v>
      </x:c>
      <x:c r="K9" s="24" t="str">
        <x:v>Shared plant asset; can dominate loss.</x:v>
      </x:c>
    </x:row>
    <x:row r="10" ht="30" customHeight="1">
      <x:c r="A10" s="24" t="str">
        <x:v>CS_IP_NEMA_RATING</x:v>
      </x:c>
      <x:c r="B10" s="24" t="str">
        <x:v>selector</x:v>
      </x:c>
      <x:c r="C10" s="24" t="str">
        <x:v>FLOOD_SOLAR</x:v>
      </x:c>
      <x:c r="D10" s="24" t="str">
        <x:v>FLOOD_DEPTH</x:v>
      </x:c>
      <x:c r="E10" s="24" t="str">
        <x:v>IP/NEMA enclosure rating</x:v>
      </x:c>
      <x:c r="F10" s="24" t="str">
        <x:v>fixed_attribute</x:v>
      </x:c>
      <x:c r="G10" s="24" t="str">
        <x:v>Can shift ingress/damage thresholds.</x:v>
      </x:c>
      <x:c r="H10" s="24" t="str">
        <x:v>equipment spec</x:v>
      </x:c>
      <x:c r="I10" s="24" t="str">
        <x:v>Unknown placeholder</x:v>
      </x:c>
      <x:c r="J10" s="24" t="str">
        <x:v>SEAM_FLOOD_ELECTRICAL_RATINGS</x:v>
      </x:c>
      <x:c r="K10" s="24" t="str">
        <x:v>Standards can anchor ingress region, not full curve.</x:v>
      </x:c>
    </x:row>
    <x:row r="11" ht="30" customHeight="1">
      <x:c r="A11" s="24" t="str">
        <x:v>CS_TURBINE_OPERATING_STATE</x:v>
      </x:c>
      <x:c r="B11" s="24" t="str">
        <x:v>conditioner</x:v>
      </x:c>
      <x:c r="C11" s="24" t="str">
        <x:v>WIND_TORNADO_WIND</x:v>
      </x:c>
      <x:c r="D11" s="24" t="str">
        <x:v>WIND_3SEC_GUST</x:v>
      </x:c>
      <x:c r="E11" s="24" t="str">
        <x:v>Turbine operating / parked state</x:v>
      </x:c>
      <x:c r="F11" s="24" t="str">
        <x:v>event_state</x:v>
      </x:c>
      <x:c r="G11" s="24" t="str">
        <x:v>Load response differs by operating state.</x:v>
      </x:c>
      <x:c r="H11" s="24" t="str">
        <x:v>SCADA / assumption</x:v>
      </x:c>
      <x:c r="I11" s="24" t="str">
        <x:v>Scenario input</x:v>
      </x:c>
      <x:c r="J11" s="24" t="str">
        <x:v>SEAM_WIND_OPERATING_STATE</x:v>
      </x:c>
      <x:c r="K11" s="24" t="str">
        <x:v>Could correlate with high-wind cutout behavior.</x:v>
      </x:c>
    </x:row>
    <x:row r="12" ht="30" customHeight="1">
      <x:c r="A12" s="24" t="str">
        <x:v>CS_FEATHERED_STATE</x:v>
      </x:c>
      <x:c r="B12" s="24" t="str">
        <x:v>conditioner</x:v>
      </x:c>
      <x:c r="C12" s="24" t="str">
        <x:v>WIND_TORNADO_WIND</x:v>
      </x:c>
      <x:c r="D12" s="24" t="str">
        <x:v>WIND_3SEC_GUST</x:v>
      </x:c>
      <x:c r="E12" s="24" t="str">
        <x:v>Blade feathered state</x:v>
      </x:c>
      <x:c r="F12" s="24" t="str">
        <x:v>event_state</x:v>
      </x:c>
      <x:c r="G12" s="24" t="str">
        <x:v>Rotor loads and blade damage depend on pitch/feathering.</x:v>
      </x:c>
      <x:c r="H12" s="24" t="str">
        <x:v>SCADA / control system</x:v>
      </x:c>
      <x:c r="I12" s="24" t="str">
        <x:v>Scenario input</x:v>
      </x:c>
      <x:c r="J12" s="24" t="str">
        <x:v>SEAM_WIND_OPERATING_STATE</x:v>
      </x:c>
      <x:c r="K12" s="24" t="str">
        <x:v>Pitch system is both conditioner and failure-unit in some cases.</x:v>
      </x:c>
    </x:row>
    <x:row r="13" ht="30" customHeight="1">
      <x:c r="A13" s="24" t="str">
        <x:v>CS_IEC_TURBINE_CLASS</x:v>
      </x:c>
      <x:c r="B13" s="24" t="str">
        <x:v>selector</x:v>
      </x:c>
      <x:c r="C13" s="24" t="str">
        <x:v>WIND_TORNADO_WIND</x:v>
      </x:c>
      <x:c r="D13" s="24" t="str">
        <x:v>WIND_3SEC_GUST</x:v>
      </x:c>
      <x:c r="E13" s="24" t="str">
        <x:v>IEC turbine class / design wind rating</x:v>
      </x:c>
      <x:c r="F13" s="24" t="str">
        <x:v>fixed_attribute</x:v>
      </x:c>
      <x:c r="G13" s="24" t="str">
        <x:v>Selects wind vulnerability family.</x:v>
      </x:c>
      <x:c r="H13" s="24" t="str">
        <x:v>asset spec / turbine model</x:v>
      </x:c>
      <x:c r="I13" s="24" t="str">
        <x:v>Unknown placeholder</x:v>
      </x:c>
      <x:c r="J13" s="24" t="str">
        <x:v>SEAM_WIND_TURBINE_CLASS</x:v>
      </x:c>
      <x:c r="K13" s="24" t="str">
        <x:v>Standards/rating anchor regions.</x:v>
      </x:c>
    </x:row>
    <x:row r="14">
      <x:c r="A14" s="24" t="str">
        <x:v>CS_HUB_HEIGHT</x:v>
      </x:c>
      <x:c r="B14" s="24" t="str">
        <x:v>selector</x:v>
      </x:c>
      <x:c r="C14" s="24" t="str">
        <x:v>WIND_TORNADO_WIND</x:v>
      </x:c>
      <x:c r="D14" s="24" t="str">
        <x:v>WIND_3SEC_GUST</x:v>
      </x:c>
      <x:c r="E14" s="24" t="str">
        <x:v>Hub height</x:v>
      </x:c>
      <x:c r="F14" s="24" t="str">
        <x:v>fixed_attribute</x:v>
      </x:c>
      <x:c r="G14" s="24" t="str">
        <x:v>Transforms wind field to turbine-level loading.</x:v>
      </x:c>
      <x:c r="H14" s="24" t="str">
        <x:v>USWTDB/EIA/asset spec</x:v>
      </x:c>
      <x:c r="I14" s="24" t="str">
        <x:v>Known where sourced</x:v>
      </x:c>
      <x:c r="J14" s="24" t="str">
        <x:v>SEAM_WIND_AXIS_CONVERSION</x:v>
      </x:c>
      <x:c r="K14" s="24" t="str">
        <x:v>Substrate has hub height populated for wind.</x:v>
      </x:c>
    </x:row>
    <x:row r="15">
      <x:c r="A15" s="24" t="str">
        <x:v>CS_RESIDENCE_TIME</x:v>
      </x:c>
      <x:c r="B15" s="24" t="str">
        <x:v>conditioner/deferred_axis</x:v>
      </x:c>
      <x:c r="C15" s="24" t="str">
        <x:v>WILDFIRE_SOLAR</x:v>
      </x:c>
      <x:c r="D15" s="24" t="str">
        <x:v>WILDFIRE_FLI</x:v>
      </x:c>
      <x:c r="E15" s="24" t="str">
        <x:v>Residence time / exposure duration</x:v>
      </x:c>
      <x:c r="F15" s="24" t="str">
        <x:v>event_state/deferred_axis</x:v>
      </x:c>
      <x:c r="G15" s="24" t="str">
        <x:v>Thermal damage depends on intensity and duration.</x:v>
      </x:c>
      <x:c r="H15" s="24" t="str">
        <x:v>fire model / assumption</x:v>
      </x:c>
      <x:c r="I15" s="24" t="str">
        <x:v>Carry as open seam in v1</x:v>
      </x:c>
      <x:c r="J15" s="24" t="str">
        <x:v>SEAM_WILDFIRE_RESIDENCE_TIME</x:v>
      </x:c>
      <x:c r="K15" s="24" t="str">
        <x:v>Do not hide the deferred 2-D nature.</x:v>
      </x:c>
    </x:row>
  </x:sheetData>
  <x:pageMargins left="0.7" right="0.7" top="0.75" bottom="0.75" header="0.3" footer="0.3"/>
  <x:tableParts count="1">
    <x:tablePart xmlns:r="http://schemas.openxmlformats.org/officeDocument/2006/relationships" r:id="Rbef42f6459d744d8"/>
  </x:tableParts>
</x:worksheet>
</file>

<file path=xl/worksheets/sheet10.xml><?xml version="1.0" encoding="utf-8"?>
<x:worksheet xmlns:x="http://schemas.openxmlformats.org/spreadsheetml/2006/main">
  <x:sheetFormatPr defaultRowHeight="15"/>
  <x:cols>
    <x:col min="1" max="1" width="30" hidden="0" customWidth="1"/>
    <x:col min="2" max="2" width="34" hidden="0" customWidth="1"/>
    <x:col min="3" max="3" width="20" hidden="0" customWidth="1"/>
    <x:col min="4" max="4" width="24" hidden="0" customWidth="1"/>
    <x:col min="5" max="5" width="24" hidden="0" customWidth="1"/>
    <x:col min="6" max="6" width="16" hidden="0" customWidth="1"/>
    <x:col min="7" max="7" width="16" hidden="0" customWidth="1"/>
    <x:col min="8" max="8" width="16" hidden="0" customWidth="1"/>
    <x:col min="9" max="9" width="12" hidden="0" customWidth="1"/>
    <x:col min="10" max="10" width="12" hidden="0" customWidth="1"/>
    <x:col min="11" max="11" width="60" hidden="0" customWidth="1"/>
    <x:col min="12" max="12" width="18" hidden="0" customWidth="1"/>
    <x:col min="13" max="13" width="32" hidden="0" customWidth="1"/>
    <x:col min="14" max="14" width="60" hidden="0" customWidth="1"/>
  </x:cols>
  <x:sheetData>
    <x:row r="1" ht="30" customHeight="1">
      <x:c r="A1" s="101" t="str">
        <x:v>parameter_set_id</x:v>
      </x:c>
      <x:c r="B1" s="101" t="str">
        <x:v>curve_record_id</x:v>
      </x:c>
      <x:c r="C1" s="101" t="str">
        <x:v>curve_form</x:v>
      </x:c>
      <x:c r="D1" s="101" t="str">
        <x:v>L_cap_usd_formula_or_ref</x:v>
      </x:c>
      <x:c r="E1" s="101" t="str">
        <x:v>L_cap_asset_pct_formula_or_ref</x:v>
      </x:c>
      <x:c r="F1" s="101" t="str">
        <x:v>threshold_low</x:v>
      </x:c>
      <x:c r="G1" s="101" t="str">
        <x:v>threshold_mid</x:v>
      </x:c>
      <x:c r="H1" s="101" t="str">
        <x:v>threshold_high</x:v>
      </x:c>
      <x:c r="I1" s="101" t="str">
        <x:v>x0</x:v>
      </x:c>
      <x:c r="J1" s="101" t="str">
        <x:v>k</x:v>
      </x:c>
      <x:c r="K1" s="101" t="str">
        <x:v>damage_state_definitions</x:v>
      </x:c>
      <x:c r="L1" s="101" t="str">
        <x:v>parameter_status</x:v>
      </x:c>
      <x:c r="M1" s="101" t="str">
        <x:v>evidence_id</x:v>
      </x:c>
      <x:c r="N1" s="101" t="str">
        <x:v>notes</x:v>
      </x:c>
      <x:c r="O1" s="37"/>
      <x:c r="P1" s="37"/>
      <x:c r="Q1" s="37"/>
      <x:c r="R1" s="37"/>
      <x:c r="S1" s="37"/>
      <x:c r="T1" s="37"/>
      <x:c r="U1" s="37"/>
      <x:c r="V1" s="37"/>
      <x:c r="W1" s="37"/>
      <x:c r="X1" s="37"/>
      <x:c r="Y1" s="37"/>
      <x:c r="Z1" s="37"/>
    </x:row>
    <x:row r="2" ht="30" customHeight="1">
      <x:c r="A2" s="24" t="str">
        <x:v>PARAM_HAIL_SOLAR_MODULE</x:v>
      </x:c>
      <x:c r="B2" s="24" t="str">
        <x:v>CR_HAIL_SOLAR_MODULE_GLASS</x:v>
      </x:c>
      <x:c r="C2" s="24" t="str">
        <x:v>diameter-native logistic P_break(D); scenario curves</x:v>
      </x:c>
      <x:c r="D2" s="24" t="n">
        <x:v>23297188.11519399</x:v>
      </x:c>
      <x:c r="E2" s="24" t="n">
        <x:v>0.26540558415229754</x:v>
      </x:c>
      <x:c r="F2" s="24" t="n">
        <x:v>25</x:v>
      </x:c>
      <x:c r="G2" s="24" t="n">
        <x:v>44</x:v>
      </x:c>
      <x:c r="H2" s="24" t="n">
        <x:v>50</x:v>
      </x:c>
      <x:c r="I2" s="24" t="n">
        <x:v>52.69607620290103</x:v>
      </x:c>
      <x:c r="J2" s="24" t="n">
        <x:v>0.1659123052836369</x:v>
      </x:c>
      <x:c r="K2" s="24" t="str">
        <x:v>Primary state: module glass breakage/replacement. Non-broken cell-crack power loss is tracked as minor performance degradation, not replacement loss.</x:v>
      </x:c>
      <x:c r="L2" s="24" t="str">
        <x:v>v1_derived_public</x:v>
      </x:c>
      <x:c r="M2" s="24" t="str">
        <x:v>EV_HAIL_V1_DERIVATION</x:v>
      </x:c>
      <x:c r="N2" s="24" t="str">
        <x:v>Default parameters reference Hail_V1_Derivation row 6. Scenario curves included for fragile and hardened module archetypes.</x:v>
      </x:c>
    </x:row>
    <x:row r="3" ht="30" customHeight="1">
      <x:c r="A3" s="24" t="str">
        <x:v>PARAM_HAIL_SOLAR_TRACKER</x:v>
      </x:c>
      <x:c r="B3" s="24" t="str">
        <x:v>CR_HAIL_SOLAR_TRACKER_MOUNTING</x:v>
      </x:c>
      <x:c r="C3" s="24" t="str">
        <x:v>TBD/DR0</x:v>
      </x:c>
      <x:c r="D3" s="24" t="n">
        <x:v>7663184.931506848</x:v>
      </x:c>
      <x:c r="E3" s="24" t="n">
        <x:v>0.08730032410594733</x:v>
      </x:c>
      <x:c r="F3" s="24"/>
      <x:c r="G3" s="24"/>
      <x:c r="H3" s="24"/>
      <x:c r="I3" s="24"/>
      <x:c r="J3" s="24"/>
      <x:c r="K3" s="24" t="str">
        <x:v>Likely DR0 unless evidence supports hail damage to mounting/tracker.</x:v>
      </x:c>
      <x:c r="L3" s="24" t="str">
        <x:v>placeholder</x:v>
      </x:c>
      <x:c r="M3" s="24" t="str">
        <x:v>EV_PLACEHOLDER_HAIL_TRACKER</x:v>
      </x:c>
      <x:c r="N3" s="24" t="str">
        <x:v>Diameter/MESH axis; tracker primarily conditioner/stow logic, not necessarily damaged failure-unit.</x:v>
      </x:c>
    </x:row>
    <x:row r="4" ht="30" customHeight="1">
      <x:c r="A4" s="24" t="str">
        <x:v>PARAM_DR0</x:v>
      </x:c>
      <x:c r="B4" s="24" t="str">
        <x:v>CR_HAIL_SOLAR_NONPHYSICAL_DR0</x:v>
      </x:c>
      <x:c r="C4" s="24" t="str">
        <x:v>DR0</x:v>
      </x:c>
      <x:c r="D4" s="24" t="str">
        <x:v>0</x:v>
      </x:c>
      <x:c r="E4" s="24" t="str">
        <x:v>0</x:v>
      </x:c>
      <x:c r="F4" s="24"/>
      <x:c r="G4" s="24"/>
      <x:c r="H4" s="24"/>
      <x:c r="I4" s="24"/>
      <x:c r="J4" s="24"/>
      <x:c r="K4" s="24" t="str">
        <x:v>DR≈0 row for reconciliation.</x:v>
      </x:c>
      <x:c r="L4" s="24" t="str">
        <x:v>complete</x:v>
      </x:c>
      <x:c r="M4" s="24" t="str">
        <x:v>EV_VALUATION_GUIDE</x:v>
      </x:c>
      <x:c r="N4" s="24" t="str">
        <x:v>Not included in physical damage base.</x:v>
      </x:c>
    </x:row>
    <x:row r="5" ht="30" customHeight="1">
      <x:c r="A5" s="24" t="str">
        <x:v>PARAM_FLOOD_SOLAR_INVERTER</x:v>
      </x:c>
      <x:c r="B5" s="24" t="str">
        <x:v>CR_FLOOD_SOLAR_INVERTER</x:v>
      </x:c>
      <x:c r="C5" s="24" t="str">
        <x:v>TBD/states</x:v>
      </x:c>
      <x:c r="D5" s="24" t="n">
        <x:v>1956630.820518619</x:v>
      </x:c>
      <x:c r="E5" s="24" t="n">
        <x:v>0.022290275690028668</x:v>
      </x:c>
      <x:c r="F5" s="24"/>
      <x:c r="G5" s="24"/>
      <x:c r="H5" s="24"/>
      <x:c r="I5" s="24"/>
      <x:c r="J5" s="24"/>
      <x:c r="K5" s="24" t="str">
        <x:v>Dry / splash / partial submergence / full submergence / replacement</x:v>
      </x:c>
      <x:c r="L5" s="24" t="str">
        <x:v>placeholder</x:v>
      </x:c>
      <x:c r="M5" s="24" t="str">
        <x:v>EV_PLACEHOLDER_FLOOD_ELECTRICAL</x:v>
      </x:c>
      <x:c r="N5" s="24" t="str">
        <x:v>Needs elevation and equipment ratings.</x:v>
      </x:c>
    </x:row>
    <x:row r="6" ht="30" customHeight="1">
      <x:c r="A6" s="24" t="str">
        <x:v>PARAM_FLOOD_SOLAR_SUBSTATION</x:v>
      </x:c>
      <x:c r="B6" s="24" t="str">
        <x:v>CR_FLOOD_SOLAR_SUBSTATION</x:v>
      </x:c>
      <x:c r="C6" s="24" t="str">
        <x:v>TBD/states</x:v>
      </x:c>
      <x:c r="D6" s="24" t="n">
        <x:v>5325233.208955223</x:v>
      </x:c>
      <x:c r="E6" s="24" t="n">
        <x:v>0.06066597494863412</x:v>
      </x:c>
      <x:c r="F6" s="24"/>
      <x:c r="G6" s="24"/>
      <x:c r="H6" s="24"/>
      <x:c r="I6" s="24"/>
      <x:c r="J6" s="24"/>
      <x:c r="K6" s="24" t="str">
        <x:v>Dry / water contact / energized inundation / replacement</x:v>
      </x:c>
      <x:c r="L6" s="24" t="str">
        <x:v>placeholder</x:v>
      </x:c>
      <x:c r="M6" s="24" t="str">
        <x:v>EV_PLACEHOLDER_FLOOD_ELECTRICAL</x:v>
      </x:c>
      <x:c r="N6" s="24" t="str">
        <x:v>Shared plant asset; count once.</x:v>
      </x:c>
    </x:row>
    <x:row r="7" ht="30" customHeight="1">
      <x:c r="A7" s="24" t="str">
        <x:v>PARAM_FLOOD_SOLAR_COLLECTION</x:v>
      </x:c>
      <x:c r="B7" s="24" t="str">
        <x:v>CR_FLOOD_SOLAR_COLLECTION</x:v>
      </x:c>
      <x:c r="C7" s="24" t="str">
        <x:v>TBD/states</x:v>
      </x:c>
      <x:c r="D7" s="24" t="n">
        <x:v>3263036.19402985</x:v>
      </x:c>
      <x:c r="E7" s="24" t="n">
        <x:v>0.03717307096910012</x:v>
      </x:c>
      <x:c r="F7" s="24"/>
      <x:c r="G7" s="24"/>
      <x:c r="H7" s="24"/>
      <x:c r="I7" s="24"/>
      <x:c r="J7" s="24"/>
      <x:c r="K7" s="24" t="str">
        <x:v>No exposure / trench inundation / debris damage / replacement</x:v>
      </x:c>
      <x:c r="L7" s="24" t="str">
        <x:v>placeholder</x:v>
      </x:c>
      <x:c r="M7" s="24" t="str">
        <x:v>EV_PLACEHOLDER_FLOOD_COLLECTION</x:v>
      </x:c>
      <x:c r="N7" s="24" t="str">
        <x:v>May split cable vs trench if needed.</x:v>
      </x:c>
    </x:row>
    <x:row r="8" ht="30" customHeight="1">
      <x:c r="A8" s="24" t="str">
        <x:v>PARAM_FLOOD_SOLAR_FOUNDATION</x:v>
      </x:c>
      <x:c r="B8" s="24" t="str">
        <x:v>CR_FLOOD_SOLAR_FOUNDATION_SCOUR</x:v>
      </x:c>
      <x:c r="C8" s="24" t="str">
        <x:v>TBD</x:v>
      </x:c>
      <x:c r="D8" s="24" t="n">
        <x:v>1556224.357663736</x:v>
      </x:c>
      <x:c r="E8" s="24" t="n">
        <x:v>0.01772877622292997</x:v>
      </x:c>
      <x:c r="F8" s="24"/>
      <x:c r="G8" s="24"/>
      <x:c r="H8" s="24"/>
      <x:c r="I8" s="24"/>
      <x:c r="J8" s="24"/>
      <x:c r="K8" s="24" t="str">
        <x:v>No scour / minor repair / undermining / replacement</x:v>
      </x:c>
      <x:c r="L8" s="24" t="str">
        <x:v>placeholder</x:v>
      </x:c>
      <x:c r="M8" s="24" t="str">
        <x:v>EV_PLACEHOLDER_FLOOD_SCOUR</x:v>
      </x:c>
      <x:c r="N8" s="24" t="str">
        <x:v>Uses velocity/scour x-axis.</x:v>
      </x:c>
    </x:row>
    <x:row r="9" ht="30" customHeight="1">
      <x:c r="A9" s="24" t="str">
        <x:v>PARAM_WIND_TORNADO_BLADE</x:v>
      </x:c>
      <x:c r="B9" s="24" t="str">
        <x:v>CR_WIND_TORNADO_BLADE</x:v>
      </x:c>
      <x:c r="C9" s="24" t="str">
        <x:v>TBD/sigmoid</x:v>
      </x:c>
      <x:c r="D9" s="24" t="n">
        <x:v>56400000</x:v>
      </x:c>
      <x:c r="E9" s="24" t="n">
        <x:v>0.17375231053604437</x:v>
      </x:c>
      <x:c r="F9" s="24"/>
      <x:c r="G9" s="24"/>
      <x:c r="H9" s="24"/>
      <x:c r="I9" s="24"/>
      <x:c r="J9" s="24"/>
      <x:c r="K9" s="24" t="str">
        <x:v>No damage / repair / major repair / replacement</x:v>
      </x:c>
      <x:c r="L9" s="24" t="str">
        <x:v>placeholder</x:v>
      </x:c>
      <x:c r="M9" s="24" t="str">
        <x:v>EV_PLACEHOLDER_WIND_BLADE</x:v>
      </x:c>
      <x:c r="N9" s="24" t="str">
        <x:v>Cap is material; needs preflight.</x:v>
      </x:c>
    </x:row>
    <x:row r="10" ht="30" customHeight="1">
      <x:c r="A10" s="24" t="str">
        <x:v>PARAM_WIND_TORNADO_TOWER</x:v>
      </x:c>
      <x:c r="B10" s="24" t="str">
        <x:v>CR_WIND_TORNADO_TOWER</x:v>
      </x:c>
      <x:c r="C10" s="24" t="str">
        <x:v>TBD/sigmoid</x:v>
      </x:c>
      <x:c r="D10" s="24" t="n">
        <x:v>55199999.99999999</x:v>
      </x:c>
      <x:c r="E10" s="24" t="n">
        <x:v>0.17005545286506468</x:v>
      </x:c>
      <x:c r="F10" s="24"/>
      <x:c r="G10" s="24"/>
      <x:c r="H10" s="24"/>
      <x:c r="I10" s="24"/>
      <x:c r="J10" s="24"/>
      <x:c r="K10" s="24" t="str">
        <x:v>No damage / local repair / structural failure</x:v>
      </x:c>
      <x:c r="L10" s="24" t="str">
        <x:v>placeholder</x:v>
      </x:c>
      <x:c r="M10" s="24" t="str">
        <x:v>EV_PLACEHOLDER_WIND_TOWER</x:v>
      </x:c>
      <x:c r="N10" s="24" t="str">
        <x:v>Coordinate with foundation.</x:v>
      </x:c>
    </x:row>
    <x:row r="11" ht="30" customHeight="1">
      <x:c r="A11" s="24" t="str">
        <x:v>PARAM_WIND_TORNADO_NACELLE</x:v>
      </x:c>
      <x:c r="B11" s="24" t="str">
        <x:v>CR_WIND_TORNADO_NACELLE</x:v>
      </x:c>
      <x:c r="C11" s="24" t="str">
        <x:v>TBD</x:v>
      </x:c>
      <x:c r="D11" s="24" t="n">
        <x:v>68000000</x:v>
      </x:c>
      <x:c r="E11" s="24" t="n">
        <x:v>0.20948860135551448</x:v>
      </x:c>
      <x:c r="F11" s="24"/>
      <x:c r="G11" s="24"/>
      <x:c r="H11" s="24"/>
      <x:c r="I11" s="24"/>
      <x:c r="J11" s="24"/>
      <x:c r="K11" s="24" t="str">
        <x:v>No damage / enclosure damage / drivetrain damage / replacement</x:v>
      </x:c>
      <x:c r="L11" s="24" t="str">
        <x:v>placeholder</x:v>
      </x:c>
      <x:c r="M11" s="24" t="str">
        <x:v>EV_PLACEHOLDER_WIND_NACELLE</x:v>
      </x:c>
      <x:c r="N11" s="24" t="str">
        <x:v>Rollup until evidence forces split.</x:v>
      </x:c>
    </x:row>
    <x:row r="12" ht="30" customHeight="1">
      <x:c r="A12" s="24" t="str">
        <x:v>PARAM_WIND_TORNADO_FOUNDATION</x:v>
      </x:c>
      <x:c r="B12" s="24" t="str">
        <x:v>CR_WIND_TORNADO_FOUNDATION</x:v>
      </x:c>
      <x:c r="C12" s="24" t="str">
        <x:v>TBD</x:v>
      </x:c>
      <x:c r="D12" s="24" t="n">
        <x:v>24000000.000000004</x:v>
      </x:c>
      <x:c r="E12" s="24" t="n">
        <x:v>0.07393715341959335</x:v>
      </x:c>
      <x:c r="F12" s="24"/>
      <x:c r="G12" s="24"/>
      <x:c r="H12" s="24"/>
      <x:c r="I12" s="24"/>
      <x:c r="J12" s="24"/>
      <x:c r="K12" s="24" t="str">
        <x:v>No damage / anchor repair / foundation replacement</x:v>
      </x:c>
      <x:c r="L12" s="24" t="str">
        <x:v>placeholder</x:v>
      </x:c>
      <x:c r="M12" s="24" t="str">
        <x:v>EV_PLACEHOLDER_WIND_FOUNDATION</x:v>
      </x:c>
      <x:c r="N12" s="24" t="str">
        <x:v>Tower/foundation coupling seam.</x:v>
      </x:c>
    </x:row>
    <x:row r="13" ht="30" customHeight="1">
      <x:c r="A13" s="24" t="str">
        <x:v>PARAM_WILDFIRE_SOLAR_MODULE</x:v>
      </x:c>
      <x:c r="B13" s="24" t="str">
        <x:v>CR_WILDFIRE_SOLAR_MODULE</x:v>
      </x:c>
      <x:c r="C13" s="24" t="str">
        <x:v>TBD</x:v>
      </x:c>
      <x:c r="D13" s="24" t="n">
        <x:v>8736445.543197745</x:v>
      </x:c>
      <x:c r="E13" s="24" t="n">
        <x:v>0.09952709405711158</x:v>
      </x:c>
      <x:c r="F13" s="24"/>
      <x:c r="G13" s="24"/>
      <x:c r="H13" s="24"/>
      <x:c r="I13" s="24"/>
      <x:c r="J13" s="24"/>
      <x:c r="K13" s="24" t="str">
        <x:v>No damage / thermal degradation / replacement</x:v>
      </x:c>
      <x:c r="L13" s="24" t="str">
        <x:v>placeholder</x:v>
      </x:c>
      <x:c r="M13" s="24" t="str">
        <x:v>EV_PLACEHOLDER_WILDFIRE_MODULE</x:v>
      </x:c>
      <x:c r="N13" s="24" t="str">
        <x:v>Residence time deferred.</x:v>
      </x:c>
    </x:row>
    <x:row r="14" ht="30" customHeight="1">
      <x:c r="A14" s="24" t="str">
        <x:v>PARAM_WILDFIRE_SOLAR_INVERTER</x:v>
      </x:c>
      <x:c r="B14" s="24" t="str">
        <x:v>CR_WILDFIRE_SOLAR_INVERTER</x:v>
      </x:c>
      <x:c r="C14" s="24" t="str">
        <x:v>TBD/states</x:v>
      </x:c>
      <x:c r="D14" s="24" t="n">
        <x:v>3913261.641037238</x:v>
      </x:c>
      <x:c r="E14" s="24" t="n">
        <x:v>0.044580551380057336</x:v>
      </x:c>
      <x:c r="F14" s="24"/>
      <x:c r="G14" s="24"/>
      <x:c r="H14" s="24"/>
      <x:c r="I14" s="24"/>
      <x:c r="J14" s="24"/>
      <x:c r="K14" s="24" t="str">
        <x:v>No damage / cabinet exposure / component replacement / full replacement</x:v>
      </x:c>
      <x:c r="L14" s="24" t="str">
        <x:v>placeholder</x:v>
      </x:c>
      <x:c r="M14" s="24" t="str">
        <x:v>EV_PLACEHOLDER_WILDFIRE_ELECTRICAL</x:v>
      </x:c>
      <x:c r="N14" s="24" t="str">
        <x:v>Thermal protection ratings may anchor.</x:v>
      </x:c>
    </x:row>
    <x:row r="15" ht="30" customHeight="1">
      <x:c r="A15" s="24" t="str">
        <x:v>PARAM_WILDFIRE_SOLAR_COLLECTION</x:v>
      </x:c>
      <x:c r="B15" s="24" t="str">
        <x:v>CR_WILDFIRE_SOLAR_COLLECTION</x:v>
      </x:c>
      <x:c r="C15" s="24" t="str">
        <x:v>TBD</x:v>
      </x:c>
      <x:c r="D15" s="24" t="n">
        <x:v>4350714.925373133</x:v>
      </x:c>
      <x:c r="E15" s="24" t="n">
        <x:v>0.049564094625466834</x:v>
      </x:c>
      <x:c r="F15" s="24"/>
      <x:c r="G15" s="24"/>
      <x:c r="H15" s="24"/>
      <x:c r="I15" s="24"/>
      <x:c r="J15" s="24"/>
      <x:c r="K15" s="24" t="str">
        <x:v>No damage / exposed cable damage / replacement</x:v>
      </x:c>
      <x:c r="L15" s="24" t="str">
        <x:v>placeholder</x:v>
      </x:c>
      <x:c r="M15" s="24" t="str">
        <x:v>EV_PLACEHOLDER_WILDFIRE_COLLECTION</x:v>
      </x:c>
      <x:c r="N15" s="24" t="str">
        <x:v>Exposed collection f requires sourcing.</x:v>
      </x:c>
    </x:row>
  </x:sheetData>
  <x:pageMargins left="0.7" right="0.7" top="0.75" bottom="0.75" header="0.3" footer="0.3"/>
  <x:tableParts count="1">
    <x:tablePart xmlns:r="http://schemas.openxmlformats.org/officeDocument/2006/relationships" r:id="R5d7ddd1aa5684c12"/>
  </x:tableParts>
</x:worksheet>
</file>

<file path=xl/worksheets/sheet11.xml><?xml version="1.0" encoding="utf-8"?>
<x:worksheet xmlns:x="http://schemas.openxmlformats.org/spreadsheetml/2006/main">
  <x:sheetFormatPr defaultRowHeight="15"/>
  <x:cols>
    <x:col min="1" max="1" width="28" hidden="0" customWidth="1"/>
    <x:col min="2" max="2" width="20" hidden="0" customWidth="1"/>
    <x:col min="3" max="3" width="42" hidden="0" customWidth="1"/>
    <x:col min="4" max="4" width="50" hidden="0" customWidth="1"/>
    <x:col min="5" max="5" width="30" hidden="0" customWidth="1"/>
    <x:col min="6" max="6" width="34" hidden="0" customWidth="1"/>
    <x:col min="7" max="7" width="14" hidden="0" customWidth="1"/>
    <x:col min="8" max="8" width="24" hidden="0" customWidth="1"/>
    <x:col min="9" max="9" width="34" hidden="0" customWidth="1"/>
    <x:col min="10" max="10" width="46" hidden="0" customWidth="1"/>
  </x:cols>
  <x:sheetData>
    <x:row r="1" ht="30" customHeight="1">
      <x:c r="A1" s="101" t="str">
        <x:v>evidence_id</x:v>
      </x:c>
      <x:c r="B1" s="101" t="str">
        <x:v>evidence_class</x:v>
      </x:c>
      <x:c r="C1" s="101" t="str">
        <x:v>source_name</x:v>
      </x:c>
      <x:c r="D1" s="101" t="str">
        <x:v>source_location_or_url</x:v>
      </x:c>
      <x:c r="E1" s="101" t="str">
        <x:v>applies_to</x:v>
      </x:c>
      <x:c r="F1" s="101" t="str">
        <x:v>parameter_or_field</x:v>
      </x:c>
      <x:c r="G1" s="101" t="str">
        <x:v>trust_tier</x:v>
      </x:c>
      <x:c r="H1" s="101" t="str">
        <x:v>vintage</x:v>
      </x:c>
      <x:c r="I1" s="101" t="str">
        <x:v>source_role</x:v>
      </x:c>
      <x:c r="J1" s="101" t="str">
        <x:v>caveat</x:v>
      </x:c>
      <x:c r="K1" s="37"/>
      <x:c r="L1" s="37"/>
      <x:c r="M1" s="37"/>
      <x:c r="N1" s="37"/>
      <x:c r="O1" s="37"/>
      <x:c r="P1" s="37"/>
      <x:c r="Q1" s="37"/>
      <x:c r="R1" s="37"/>
      <x:c r="S1" s="37"/>
      <x:c r="T1" s="37"/>
      <x:c r="U1" s="37"/>
      <x:c r="V1" s="37"/>
      <x:c r="W1" s="37"/>
      <x:c r="X1" s="37"/>
      <x:c r="Y1" s="37"/>
      <x:c r="Z1" s="37"/>
    </x:row>
    <x:row r="2" ht="30" customHeight="1">
      <x:c r="A2" s="24" t="str">
        <x:v>EV_ASSEMBLED_RECORD</x:v>
      </x:c>
      <x:c r="B2" s="24" t="str">
        <x:v>foundation_spec</x:v>
      </x:c>
      <x:c r="C2" s="24" t="str">
        <x:v>Assembled curve record spec</x:v>
      </x:c>
      <x:c r="D2" s="24" t="str">
        <x:v>damage_curve_foundations/00_assembled_curve_record.md</x:v>
      </x:c>
      <x:c r="E2" s="24" t="str">
        <x:v>All curve records</x:v>
      </x:c>
      <x:c r="F2" s="24" t="str">
        <x:v>record schema</x:v>
      </x:c>
      <x:c r="G2" s="24" t="str">
        <x:v>high</x:v>
      </x:c>
      <x:c r="H2" s="24" t="str">
        <x:v>2026</x:v>
      </x:c>
      <x:c r="I2" s="24" t="str">
        <x:v>Governs record atom and field map</x:v>
      </x:c>
      <x:c r="J2" s="24" t="str">
        <x:v>Spec, not a curve source.</x:v>
      </x:c>
    </x:row>
    <x:row r="3" ht="30" customHeight="1">
      <x:c r="A3" s="24" t="str">
        <x:v>EV_GRANULARITY</x:v>
      </x:c>
      <x:c r="B3" s="24" t="str">
        <x:v>foundation_decision</x:v>
      </x:c>
      <x:c r="C3" s="24" t="str">
        <x:v>Damage-curve granularity</x:v>
      </x:c>
      <x:c r="D3" s="24" t="str">
        <x:v>damage_curve_foundations/questions/01_granularity.md</x:v>
      </x:c>
      <x:c r="E3" s="24" t="str">
        <x:v>failure_unit grain</x:v>
      </x:c>
      <x:c r="F3" s="24" t="str">
        <x:v>failure_unit; DR0 rows</x:v>
      </x:c>
      <x:c r="G3" s="24" t="str">
        <x:v>high</x:v>
      </x:c>
      <x:c r="H3" s="24" t="str">
        <x:v>2026</x:v>
      </x:c>
      <x:c r="I3" s="24" t="str">
        <x:v>Governs record grain</x:v>
      </x:c>
      <x:c r="J3" s="24" t="str">
        <x:v>No numeric curve parameters.</x:v>
      </x:c>
    </x:row>
    <x:row r="4" ht="30" customHeight="1">
      <x:c r="A4" s="24" t="str">
        <x:v>EV_X_AXIS</x:v>
      </x:c>
      <x:c r="B4" s="24" t="str">
        <x:v>foundation_decision</x:v>
      </x:c>
      <x:c r="C4" s="24" t="str">
        <x:v>X-axis intensity variable</x:v>
      </x:c>
      <x:c r="D4" s="24" t="str">
        <x:v>damage_curve_foundations/questions/02_x_axis_intensity_variable.md</x:v>
      </x:c>
      <x:c r="E4" s="24" t="str">
        <x:v>x-axis map</x:v>
      </x:c>
      <x:c r="F4" s="24" t="str">
        <x:v>x_axis; chain_node; conditioners; selectors</x:v>
      </x:c>
      <x:c r="G4" s="24" t="str">
        <x:v>high</x:v>
      </x:c>
      <x:c r="H4" s="24" t="str">
        <x:v>2026</x:v>
      </x:c>
      <x:c r="I4" s="24" t="str">
        <x:v>Governs x-axis discipline</x:v>
      </x:c>
      <x:c r="J4" s="24" t="str">
        <x:v>No numeric hazard source values.</x:v>
      </x:c>
    </x:row>
    <x:row r="5" ht="30" customHeight="1">
      <x:c r="A5" s="24" t="str">
        <x:v>EV_VALUATION_GUIDE</x:v>
      </x:c>
      <x:c r="B5" s="24" t="str">
        <x:v>valuation_method</x:v>
      </x:c>
      <x:c r="C5" s="24" t="str">
        <x:v>Valuation guide</x:v>
      </x:c>
      <x:c r="D5" s="24" t="str">
        <x:v>03_valuation_guide.md</x:v>
      </x:c>
      <x:c r="E5" s="24" t="str">
        <x:v>value link</x:v>
      </x:c>
      <x:c r="F5" s="24" t="str">
        <x:v>basis; value_share; at_risk_f; f_kind</x:v>
      </x:c>
      <x:c r="G5" s="24" t="str">
        <x:v>high</x:v>
      </x:c>
      <x:c r="H5" s="24" t="str">
        <x:v>2026</x:v>
      </x:c>
      <x:c r="I5" s="24" t="str">
        <x:v>Governs physical basis and f logic</x:v>
      </x:c>
      <x:c r="J5" s="24" t="str">
        <x:v>Numbers sourced separately in valuation workbook.</x:v>
      </x:c>
    </x:row>
    <x:row r="6" ht="30" customHeight="1">
      <x:c r="A6" s="24" t="str">
        <x:v>EV_VALUATION_WORKBOOK_SOLAR</x:v>
      </x:c>
      <x:c r="B6" s="24" t="str">
        <x:v>valuation_data</x:v>
      </x:c>
      <x:c r="C6" s="24" t="str">
        <x:v>Solar/wind value breakdown workbook</x:v>
      </x:c>
      <x:c r="D6" s="24" t="str">
        <x:v>solar_wind_value_breakdown.xlsx</x:v>
      </x:c>
      <x:c r="E6" s="24" t="str">
        <x:v>solar value links</x:v>
      </x:c>
      <x:c r="F6" s="24" t="str">
        <x:v>value_share; physical_base; cap_L</x:v>
      </x:c>
      <x:c r="G6" s="24" t="str">
        <x:v>high</x:v>
      </x:c>
      <x:c r="H6" s="24" t="str">
        <x:v>2026</x:v>
      </x:c>
      <x:c r="I6" s="24" t="str">
        <x:v>Default value base for scaffold</x:v>
      </x:c>
      <x:c r="J6" s="24" t="str">
        <x:v>Generic defaults; plant-specific overrides expected.</x:v>
      </x:c>
    </x:row>
    <x:row r="7" ht="30" customHeight="1">
      <x:c r="A7" s="24" t="str">
        <x:v>EV_VALUATION_WORKBOOK_WIND</x:v>
      </x:c>
      <x:c r="B7" s="24" t="str">
        <x:v>valuation_data</x:v>
      </x:c>
      <x:c r="C7" s="24" t="str">
        <x:v>Solar/wind value breakdown workbook</x:v>
      </x:c>
      <x:c r="D7" s="24" t="str">
        <x:v>solar_wind_value_breakdown.xlsx</x:v>
      </x:c>
      <x:c r="E7" s="24" t="str">
        <x:v>wind value links</x:v>
      </x:c>
      <x:c r="F7" s="24" t="str">
        <x:v>value_share; physical_base; cap_L</x:v>
      </x:c>
      <x:c r="G7" s="24" t="str">
        <x:v>high</x:v>
      </x:c>
      <x:c r="H7" s="24" t="str">
        <x:v>2026</x:v>
      </x:c>
      <x:c r="I7" s="24" t="str">
        <x:v>Default value base for scaffold</x:v>
      </x:c>
      <x:c r="J7" s="24" t="str">
        <x:v>Generic defaults; plant-specific overrides expected.</x:v>
      </x:c>
    </x:row>
    <x:row r="8" ht="30" customHeight="1">
      <x:c r="A8" s="24" t="str">
        <x:v>EV_CURATION</x:v>
      </x:c>
      <x:c r="B8" s="24" t="str">
        <x:v>foundation_decision</x:v>
      </x:c>
      <x:c r="C8" s="24" t="str">
        <x:v>Curation and derivation guide</x:v>
      </x:c>
      <x:c r="D8" s="24" t="str">
        <x:v>damage_curve_foundations/questions/04_curation_derivation.md</x:v>
      </x:c>
      <x:c r="E8" s="24" t="str">
        <x:v>curve form/evidence</x:v>
      </x:c>
      <x:c r="F8" s="24" t="str">
        <x:v>curve_form; evidence_class; anchors</x:v>
      </x:c>
      <x:c r="G8" s="24" t="str">
        <x:v>high</x:v>
      </x:c>
      <x:c r="H8" s="24" t="str">
        <x:v>2026</x:v>
      </x:c>
      <x:c r="I8" s="24" t="str">
        <x:v>Governs evidence hierarchy and form parsimony</x:v>
      </x:c>
      <x:c r="J8" s="24" t="str">
        <x:v>No numeric curve parameters.</x:v>
      </x:c>
    </x:row>
    <x:row r="9" ht="30" customHeight="1">
      <x:c r="A9" s="24" t="str">
        <x:v>EV_EMIT</x:v>
      </x:c>
      <x:c r="B9" s="24" t="str">
        <x:v>foundation_decision</x:v>
      </x:c>
      <x:c r="C9" s="24" t="str">
        <x:v>Emit object guide</x:v>
      </x:c>
      <x:c r="D9" s="24" t="str">
        <x:v>damage_curve_foundations/questions/05_emit_object.md</x:v>
      </x:c>
      <x:c r="E9" s="24" t="str">
        <x:v>emit policy</x:v>
      </x:c>
      <x:c r="F9" s="24" t="str">
        <x:v>emit_type; cap_binding_risk</x:v>
      </x:c>
      <x:c r="G9" s="24" t="str">
        <x:v>high</x:v>
      </x:c>
      <x:c r="H9" s="24" t="str">
        <x:v>2026</x:v>
      </x:c>
      <x:c r="I9" s="24" t="str">
        <x:v>Governs first-nonlinearity rule</x:v>
      </x:c>
      <x:c r="J9" s="24" t="str">
        <x:v>Requires cap preflight to apply.</x:v>
      </x:c>
    </x:row>
    <x:row r="10" ht="30" customHeight="1">
      <x:c r="A10" s="24" t="str">
        <x:v>EV_METRICS</x:v>
      </x:c>
      <x:c r="B10" s="24" t="str">
        <x:v>foundation_decision</x:v>
      </x:c>
      <x:c r="C10" s="24" t="str">
        <x:v>Metrics and tail honesty</x:v>
      </x:c>
      <x:c r="D10" s="24" t="str">
        <x:v>damage_curve_foundations/questions/06_metrics_and_tail_honesty.md</x:v>
      </x:c>
      <x:c r="E10" s="24" t="str">
        <x:v>metric policy</x:v>
      </x:c>
      <x:c r="F10" s="24" t="str">
        <x:v>EAL_status; tail_status</x:v>
      </x:c>
      <x:c r="G10" s="24" t="str">
        <x:v>high</x:v>
      </x:c>
      <x:c r="H10" s="24" t="str">
        <x:v>2026</x:v>
      </x:c>
      <x:c r="I10" s="24" t="str">
        <x:v>Governs EAL/tail shipping policy</x:v>
      </x:c>
      <x:c r="J10" s="24" t="str">
        <x:v>Tail withheld under scalar.</x:v>
      </x:c>
    </x:row>
    <x:row r="11" ht="30" customHeight="1">
      <x:c r="A11" s="24" t="str">
        <x:v>EV_SUBSTRATE</x:v>
      </x:c>
      <x:c r="B11" s="24" t="str">
        <x:v>engineering_vocab</x:v>
      </x:c>
      <x:c r="C11" s="24" t="str">
        <x:v>Engineering substrate decomposition</x:v>
      </x:c>
      <x:c r="D11" s="24" t="str">
        <x:v>substrate_decomposition.md</x:v>
      </x:c>
      <x:c r="E11" s="24" t="str">
        <x:v>subsystem/component map</x:v>
      </x:c>
      <x:c r="F11" s="24" t="str">
        <x:v>subsystem; component; asset_scope</x:v>
      </x:c>
      <x:c r="G11" s="24" t="str">
        <x:v>high</x:v>
      </x:c>
      <x:c r="H11" s="24" t="str">
        <x:v>2026</x:v>
      </x:c>
      <x:c r="I11" s="24" t="str">
        <x:v>Governs vocabulary</x:v>
      </x:c>
      <x:c r="J11" s="24" t="str">
        <x:v>Runtime truth is DB lookup; doc is readable consolidation.</x:v>
      </x:c>
    </x:row>
    <x:row r="12" ht="30" customHeight="1">
      <x:c r="A12" s="24" t="str">
        <x:v>EV_PLACEHOLDER_HAIL_MODULE</x:v>
      </x:c>
      <x:c r="B12" s="24" t="str">
        <x:v>placeholder</x:v>
      </x:c>
      <x:c r="C12" s="24" t="str">
        <x:v>Hail module curve source pending</x:v>
      </x:c>
      <x:c r="D12" s="24" t="str">
        <x:v>TBD</x:v>
      </x:c>
      <x:c r="E12" s="24" t="str">
        <x:v>CR_HAIL_SOLAR_MODULE_GLASS</x:v>
      </x:c>
      <x:c r="F12" s="24" t="str">
        <x:v>curve parameters; module-BOM f</x:v>
      </x:c>
      <x:c r="G12" s="24" t="str">
        <x:v>placeholder</x:v>
      </x:c>
      <x:c r="H12" s="24" t="str">
        <x:v>TBD</x:v>
      </x:c>
      <x:c r="I12" s="24" t="str">
        <x:v>Placeholder until sourcing pass</x:v>
      </x:c>
      <x:c r="J12" s="24" t="str">
        <x:v>Cannot approve row until sourced.</x:v>
      </x:c>
    </x:row>
    <x:row r="13" ht="30" customHeight="1">
      <x:c r="A13" s="24" t="str">
        <x:v>EV_PLACEHOLDER_HAIL_TRACKER</x:v>
      </x:c>
      <x:c r="B13" s="24" t="str">
        <x:v>placeholder</x:v>
      </x:c>
      <x:c r="C13" s="24" t="str">
        <x:v>Hail tracker/mounting curve source pending</x:v>
      </x:c>
      <x:c r="D13" s="24" t="str">
        <x:v>TBD</x:v>
      </x:c>
      <x:c r="E13" s="24" t="str">
        <x:v>CR_HAIL_SOLAR_TRACKER_MOUNTING</x:v>
      </x:c>
      <x:c r="F13" s="24" t="str">
        <x:v>curve relevance and parameters</x:v>
      </x:c>
      <x:c r="G13" s="24" t="str">
        <x:v>placeholder</x:v>
      </x:c>
      <x:c r="H13" s="24" t="str">
        <x:v>TBD</x:v>
      </x:c>
      <x:c r="I13" s="24" t="str">
        <x:v>Placeholder until sourcing pass</x:v>
      </x:c>
      <x:c r="J13" s="24" t="str">
        <x:v>May collapse to DR0.</x:v>
      </x:c>
    </x:row>
    <x:row r="14" ht="30" customHeight="1">
      <x:c r="A14" s="24" t="str">
        <x:v>EV_PLACEHOLDER_FLOOD_ELECTRICAL</x:v>
      </x:c>
      <x:c r="B14" s="24" t="str">
        <x:v>placeholder</x:v>
      </x:c>
      <x:c r="C14" s="24" t="str">
        <x:v>Flood electrical ingress source pending</x:v>
      </x:c>
      <x:c r="D14" s="24" t="str">
        <x:v>TBD</x:v>
      </x:c>
      <x:c r="E14" s="24" t="str">
        <x:v>Flood electrical records</x:v>
      </x:c>
      <x:c r="F14" s="24" t="str">
        <x:v>depth thresholds/states</x:v>
      </x:c>
      <x:c r="G14" s="24" t="str">
        <x:v>placeholder</x:v>
      </x:c>
      <x:c r="H14" s="24" t="str">
        <x:v>TBD</x:v>
      </x:c>
      <x:c r="I14" s="24" t="str">
        <x:v>Placeholder until sourcing pass</x:v>
      </x:c>
      <x:c r="J14" s="24" t="str">
        <x:v>Needs elevation and equipment rating assumptions.</x:v>
      </x:c>
    </x:row>
    <x:row r="15" ht="30" customHeight="1">
      <x:c r="A15" s="24" t="str">
        <x:v>EV_DOE_FEMP_PV_HAIL</x:v>
      </x:c>
      <x:c r="B15" s="24" t="str">
        <x:v>standard/guide</x:v>
      </x:c>
      <x:c r="C15" s="24" t="str">
        <x:v>DOE/FEMP Hail Damage Mitigation for Solar PV Systems</x:v>
      </x:c>
      <x:c r="D15" s="24" t="str">
        <x:v>https://www.energy.gov/femp/hail-damage-mitigation-solar-photovoltaic-systems</x:v>
      </x:c>
      <x:c r="E15" s="24" t="str">
        <x:v>HAIL_SOLAR; module selectors; axis bridge</x:v>
      </x:c>
      <x:c r="F15" s="24" t="str">
        <x:v>IEC hail test diameter/mass/velocity; glass thickness; stow</x:v>
      </x:c>
      <x:c r="G15" s="24" t="str">
        <x:v>high</x:v>
      </x:c>
      <x:c r="H15" s="24" t="str">
        <x:v>current as viewed 2026-06-19</x:v>
      </x:c>
      <x:c r="I15" s="24" t="str">
        <x:v>Supports KE bridge and PV hail selectors</x:v>
      </x:c>
      <x:c r="J15" s="24" t="str">
        <x:v>Certification tests are anchors/boundary conditions, not full damage curves.</x:v>
      </x:c>
    </x:row>
    <x:row r="16" ht="30" customHeight="1">
      <x:c r="A16" s="24" t="str">
        <x:v>EV_NOAA_MESH</x:v>
      </x:c>
      <x:c r="B16" s="24" t="str">
        <x:v>hazard_data</x:v>
      </x:c>
      <x:c r="C16" s="24" t="str">
        <x:v>NOAA/NWS WDTD Maximum Estimated Size of Hail (MESH)</x:v>
      </x:c>
      <x:c r="D16" s="24" t="str">
        <x:v>https://vlab.noaa.gov/web/wdtd/-/maximum-estimated-size-of-hail-mes-2</x:v>
      </x:c>
      <x:c r="E16" s="24" t="str">
        <x:v>HAIL_SOLAR; x-axis map</x:v>
      </x:c>
      <x:c r="F16" s="24" t="str">
        <x:v>MESH-equivalent hail size; units</x:v>
      </x:c>
      <x:c r="G16" s="24" t="str">
        <x:v>high</x:v>
      </x:c>
      <x:c r="H16" s="24" t="str">
        <x:v>MRMS v10 page as viewed 2026-06-19</x:v>
      </x:c>
      <x:c r="I16" s="24" t="str">
        <x:v>Supports gridded operational x-axis</x:v>
      </x:c>
      <x:c r="J16" s="24" t="str">
        <x:v>MESH is a radar estimate; use as estimated maximum hail size, not measured impact energy.</x:v>
      </x:c>
    </x:row>
    <x:row r="17" ht="30" customHeight="1">
      <x:c r="A17" s="24" t="str">
        <x:v>EV_NOAA_STORM_EVENTS_HAIL_SIZE</x:v>
      </x:c>
      <x:c r="B17" s="24" t="str">
        <x:v>hazard_data</x:v>
      </x:c>
      <x:c r="C17" s="24" t="str">
        <x:v>NOAA/NCEI Storm Events FAQ</x:v>
      </x:c>
      <x:c r="D17" s="24" t="str">
        <x:v>https://www.ncei.noaa.gov/stormevents/faq.jsp</x:v>
      </x:c>
      <x:c r="E17" s="24" t="str">
        <x:v>HAIL_SOLAR; hail axis</x:v>
      </x:c>
      <x:c r="F17" s="24" t="str">
        <x:v>hail magnitude/source-native size</x:v>
      </x:c>
      <x:c r="G17" s="24" t="str">
        <x:v>high</x:v>
      </x:c>
      <x:c r="H17" s="24" t="str">
        <x:v>current as viewed 2026-06-19</x:v>
      </x:c>
      <x:c r="I17" s="24" t="str">
        <x:v>Supports operational x-axis</x:v>
      </x:c>
      <x:c r="J17" s="24" t="str">
        <x:v>Hail Magnitude is size in inches/hundredths; reports can be uncertain.</x:v>
      </x:c>
    </x:row>
    <x:row r="18" ht="30" customHeight="1">
      <x:c r="A18" s="24" t="str">
        <x:v>EV_PLACEHOLDER_FLOOD_COLLECTION</x:v>
      </x:c>
      <x:c r="B18" s="24" t="str">
        <x:v>placeholder</x:v>
      </x:c>
      <x:c r="C18" s="24" t="str">
        <x:v>Flood collection/cable source pending</x:v>
      </x:c>
      <x:c r="D18" s="24" t="str">
        <x:v>TBD</x:v>
      </x:c>
      <x:c r="E18" s="24" t="str">
        <x:v>CR_FLOOD_SOLAR_COLLECTION</x:v>
      </x:c>
      <x:c r="F18" s="24" t="str">
        <x:v>depth states</x:v>
      </x:c>
      <x:c r="G18" s="24" t="str">
        <x:v>placeholder</x:v>
      </x:c>
      <x:c r="H18" s="24" t="str">
        <x:v>TBD</x:v>
      </x:c>
      <x:c r="I18" s="24" t="str">
        <x:v>Placeholder until sourcing pass</x:v>
      </x:c>
      <x:c r="J18" s="24" t="str">
        <x:v>Exposure fraction likely site-specific.</x:v>
      </x:c>
    </x:row>
    <x:row r="19" ht="30" customHeight="1">
      <x:c r="A19" s="24" t="str">
        <x:v>EV_PLACEHOLDER_FLOOD_SCOUR</x:v>
      </x:c>
      <x:c r="B19" s="24" t="str">
        <x:v>placeholder</x:v>
      </x:c>
      <x:c r="C19" s="24" t="str">
        <x:v>Flood scour/foundation source pending</x:v>
      </x:c>
      <x:c r="D19" s="24" t="str">
        <x:v>TBD</x:v>
      </x:c>
      <x:c r="E19" s="24" t="str">
        <x:v>CR_FLOOD_SOLAR_FOUNDATION_SCOUR</x:v>
      </x:c>
      <x:c r="F19" s="24" t="str">
        <x:v>velocity thresholds</x:v>
      </x:c>
      <x:c r="G19" s="24" t="str">
        <x:v>placeholder</x:v>
      </x:c>
      <x:c r="H19" s="24" t="str">
        <x:v>TBD</x:v>
      </x:c>
      <x:c r="I19" s="24" t="str">
        <x:v>Placeholder until sourcing pass</x:v>
      </x:c>
      <x:c r="J19" s="24" t="str">
        <x:v>May be analytical/engineering rather than empirical.</x:v>
      </x:c>
    </x:row>
    <x:row r="20" ht="30" customHeight="1">
      <x:c r="A20" s="24" t="str">
        <x:v>EV_PLACEHOLDER_WIND_BLADE</x:v>
      </x:c>
      <x:c r="B20" s="24" t="str">
        <x:v>placeholder</x:v>
      </x:c>
      <x:c r="C20" s="24" t="str">
        <x:v>Wind/tornado blade curve source pending</x:v>
      </x:c>
      <x:c r="D20" s="24" t="str">
        <x:v>TBD</x:v>
      </x:c>
      <x:c r="E20" s="24" t="str">
        <x:v>CR_WIND_TORNADO_BLADE</x:v>
      </x:c>
      <x:c r="F20" s="24" t="str">
        <x:v>wind-speed curve parameters</x:v>
      </x:c>
      <x:c r="G20" s="24" t="str">
        <x:v>placeholder</x:v>
      </x:c>
      <x:c r="H20" s="24" t="str">
        <x:v>TBD</x:v>
      </x:c>
      <x:c r="I20" s="24" t="str">
        <x:v>Placeholder until sourcing pass</x:v>
      </x:c>
      <x:c r="J20" s="24" t="str">
        <x:v>Need standards/physics/empirical source.</x:v>
      </x:c>
    </x:row>
    <x:row r="21" ht="30" customHeight="1">
      <x:c r="A21" s="24" t="str">
        <x:v>EV_PLACEHOLDER_WIND_TOWER</x:v>
      </x:c>
      <x:c r="B21" s="24" t="str">
        <x:v>placeholder</x:v>
      </x:c>
      <x:c r="C21" s="24" t="str">
        <x:v>Wind/tornado tower curve source pending</x:v>
      </x:c>
      <x:c r="D21" s="24" t="str">
        <x:v>TBD</x:v>
      </x:c>
      <x:c r="E21" s="24" t="str">
        <x:v>CR_WIND_TORNADO_TOWER</x:v>
      </x:c>
      <x:c r="F21" s="24" t="str">
        <x:v>wind-speed thresholds</x:v>
      </x:c>
      <x:c r="G21" s="24" t="str">
        <x:v>placeholder</x:v>
      </x:c>
      <x:c r="H21" s="24" t="str">
        <x:v>TBD</x:v>
      </x:c>
      <x:c r="I21" s="24" t="str">
        <x:v>Placeholder until sourcing pass</x:v>
      </x:c>
      <x:c r="J21" s="24" t="str">
        <x:v>May use design ratings as anchors.</x:v>
      </x:c>
    </x:row>
    <x:row r="22" ht="30" customHeight="1">
      <x:c r="A22" s="24" t="str">
        <x:v>EV_PLACEHOLDER_WIND_NACELLE</x:v>
      </x:c>
      <x:c r="B22" s="24" t="str">
        <x:v>placeholder</x:v>
      </x:c>
      <x:c r="C22" s="24" t="str">
        <x:v>Wind/tornado nacelle curve source pending</x:v>
      </x:c>
      <x:c r="D22" s="24" t="str">
        <x:v>TBD</x:v>
      </x:c>
      <x:c r="E22" s="24" t="str">
        <x:v>CR_WIND_TORNADO_NACELLE</x:v>
      </x:c>
      <x:c r="F22" s="24" t="str">
        <x:v>wind-speed thresholds</x:v>
      </x:c>
      <x:c r="G22" s="24" t="str">
        <x:v>placeholder</x:v>
      </x:c>
      <x:c r="H22" s="24" t="str">
        <x:v>TBD</x:v>
      </x:c>
      <x:c r="I22" s="24" t="str">
        <x:v>Placeholder until sourcing pass</x:v>
      </x:c>
      <x:c r="J22" s="24" t="str">
        <x:v>May remain secondary if tower/rotor dominate.</x:v>
      </x:c>
    </x:row>
    <x:row r="23" ht="30" customHeight="1">
      <x:c r="A23" s="24" t="str">
        <x:v>EV_PLACEHOLDER_WIND_FOUNDATION</x:v>
      </x:c>
      <x:c r="B23" s="24" t="str">
        <x:v>placeholder</x:v>
      </x:c>
      <x:c r="C23" s="24" t="str">
        <x:v>Wind/tornado foundation source pending</x:v>
      </x:c>
      <x:c r="D23" s="24" t="str">
        <x:v>TBD</x:v>
      </x:c>
      <x:c r="E23" s="24" t="str">
        <x:v>CR_WIND_TORNADO_FOUNDATION</x:v>
      </x:c>
      <x:c r="F23" s="24" t="str">
        <x:v>overturning/scour thresholds</x:v>
      </x:c>
      <x:c r="G23" s="24" t="str">
        <x:v>placeholder</x:v>
      </x:c>
      <x:c r="H23" s="24" t="str">
        <x:v>TBD</x:v>
      </x:c>
      <x:c r="I23" s="24" t="str">
        <x:v>Placeholder until sourcing pass</x:v>
      </x:c>
      <x:c r="J23" s="24" t="str">
        <x:v>Avoid double-counting with tower loss.</x:v>
      </x:c>
    </x:row>
    <x:row r="24">
      <x:c r="A24" s="24" t="str">
        <x:v>EV_PLACEHOLDER_WILDFIRE_MODULE</x:v>
      </x:c>
      <x:c r="B24" s="24" t="str">
        <x:v>placeholder</x:v>
      </x:c>
      <x:c r="C24" s="24" t="str">
        <x:v>Wildfire module thermal source pending</x:v>
      </x:c>
      <x:c r="D24" s="24" t="str">
        <x:v>TBD</x:v>
      </x:c>
      <x:c r="E24" s="24" t="str">
        <x:v>CR_WILDFIRE_SOLAR_MODULE</x:v>
      </x:c>
      <x:c r="F24" s="24" t="str">
        <x:v>thermal curve parameters</x:v>
      </x:c>
      <x:c r="G24" s="24" t="str">
        <x:v>placeholder</x:v>
      </x:c>
      <x:c r="H24" s="24" t="str">
        <x:v>TBD</x:v>
      </x:c>
      <x:c r="I24" s="24" t="str">
        <x:v>Placeholder until sourcing pass</x:v>
      </x:c>
      <x:c r="J24" s="24" t="str">
        <x:v>Residence time seam.</x:v>
      </x:c>
    </x:row>
    <x:row r="25">
      <x:c r="A25" s="24" t="str">
        <x:v>EV_PLACEHOLDER_WILDFIRE_ELECTRICAL</x:v>
      </x:c>
      <x:c r="B25" s="24" t="str">
        <x:v>placeholder</x:v>
      </x:c>
      <x:c r="C25" s="24" t="str">
        <x:v>Wildfire electrical thermal source pending</x:v>
      </x:c>
      <x:c r="D25" s="24" t="str">
        <x:v>TBD</x:v>
      </x:c>
      <x:c r="E25" s="24" t="str">
        <x:v>CR_WILDFIRE_SOLAR_INVERTER</x:v>
      </x:c>
      <x:c r="F25" s="24" t="str">
        <x:v>state thresholds</x:v>
      </x:c>
      <x:c r="G25" s="24" t="str">
        <x:v>placeholder</x:v>
      </x:c>
      <x:c r="H25" s="24" t="str">
        <x:v>TBD</x:v>
      </x:c>
      <x:c r="I25" s="24" t="str">
        <x:v>Placeholder until sourcing pass</x:v>
      </x:c>
      <x:c r="J25" s="24" t="str">
        <x:v>Cabinet/enclosure rating may anchor.</x:v>
      </x:c>
    </x:row>
    <x:row r="26">
      <x:c r="A26" s="24" t="str">
        <x:v>EV_PLACEHOLDER_WILDFIRE_COLLECTION</x:v>
      </x:c>
      <x:c r="B26" s="24" t="str">
        <x:v>placeholder</x:v>
      </x:c>
      <x:c r="C26" s="24" t="str">
        <x:v>Wildfire collection/cable source pending</x:v>
      </x:c>
      <x:c r="D26" s="24" t="str">
        <x:v>TBD</x:v>
      </x:c>
      <x:c r="E26" s="24" t="str">
        <x:v>CR_WILDFIRE_SOLAR_COLLECTION</x:v>
      </x:c>
      <x:c r="F26" s="24" t="str">
        <x:v>thermal exposure and f</x:v>
      </x:c>
      <x:c r="G26" s="24" t="str">
        <x:v>placeholder</x:v>
      </x:c>
      <x:c r="H26" s="24" t="str">
        <x:v>TBD</x:v>
      </x:c>
      <x:c r="I26" s="24" t="str">
        <x:v>Placeholder until sourcing pass</x:v>
      </x:c>
      <x:c r="J26" s="24" t="str">
        <x:v>Above-ground exposed subset likely small/variable.</x:v>
      </x:c>
    </x:row>
    <x:row r="27">
      <x:c r="A27" s="24" t="str">
        <x:v>EV_PVEL_2026_HSS</x:v>
      </x:c>
      <x:c r="B27" s="24" t="str">
        <x:v>lab_test_aggregate</x:v>
      </x:c>
      <x:c r="C27" s="24" t="str">
        <x:v>Kiwa PVEL 2026 PV Module Reliability Scorecard - Hail Stress Sequence</x:v>
      </x:c>
      <x:c r="D27" s="24" t="str">
        <x:v>https://scorecard.pvel.com/hail-stress-sequence/</x:v>
      </x:c>
      <x:c r="E27" s="24" t="str">
        <x:v>HAIL_SOLAR; scenario curves</x:v>
      </x:c>
      <x:c r="F27" s="24" t="str">
        <x:v>Fragile/hardened public breakage anchors</x:v>
      </x:c>
      <x:c r="G27" s="24" t="str">
        <x:v>high</x:v>
      </x:c>
      <x:c r="H27" s="24" t="str">
        <x:v>2026</x:v>
      </x:c>
      <x:c r="I27" s="24" t="str">
        <x:v>Supports 40/45mm thin-glass and 45mm thicker-glass anchors</x:v>
      </x:c>
      <x:c r="J27" s="24" t="str">
        <x:v>Aggregate testing, not field claims; target impacts and BOM mix matter.</x:v>
      </x:c>
    </x:row>
    <x:row r="28">
      <x:c r="A28" s="24" t="str">
        <x:v>EV_PVEL_2023_HSS</x:v>
      </x:c>
      <x:c r="B28" s="24" t="str">
        <x:v>lab_test_aggregate</x:v>
      </x:c>
      <x:c r="C28" s="24" t="str">
        <x:v>PVEL 2023 PV Module Reliability Scorecard - Hail Stress Sequence</x:v>
      </x:c>
      <x:c r="D28" s="24" t="str">
        <x:v>https://2023modulescorecard.pvel.com/hail-stress-sequence/</x:v>
      </x:c>
      <x:c r="E28" s="24" t="str">
        <x:v>HAIL_SOLAR; scenario curves</x:v>
      </x:c>
      <x:c r="F28" s="24" t="str">
        <x:v>50mm glass//glass and glass//backsheet breakage anchors; 35/40mm reduced-energy anchors</x:v>
      </x:c>
      <x:c r="G28" s="24" t="str">
        <x:v>high</x:v>
      </x:c>
      <x:c r="H28" s="24" t="str">
        <x:v>2023</x:v>
      </x:c>
      <x:c r="I28" s="24" t="str">
        <x:v>Supports fragile and default curves</x:v>
      </x:c>
      <x:c r="J28" s="24" t="str">
        <x:v>Aggregate testing, not field claims; older than 2026 but more detailed public anchor list.</x:v>
      </x:c>
    </x:row>
    <x:row r="29">
      <x:c r="A29" s="24" t="str">
        <x:v>EV_NREL_EXTREME_WEATHER_PV</x:v>
      </x:c>
      <x:c r="B29" s="24" t="str">
        <x:v>field_performance_study</x:v>
      </x:c>
      <x:c r="C29" s="24" t="str">
        <x:v>NREL/IEEE Extreme Weather and PV Performance</x:v>
      </x:c>
      <x:c r="D29" s="24" t="str">
        <x:v>https://research-hub.nrel.gov/en/publications/extreme-weather-and-pv-performance-2</x:v>
      </x:c>
      <x:c r="E29" s="24" t="str">
        <x:v>HAIL_SOLAR; curve floor/context</x:v>
      </x:c>
      <x:c r="F29" s="24" t="str">
        <x:v>Hail ≥25mm associated with higher PLR</x:v>
      </x:c>
      <x:c r="G29" s="24" t="str">
        <x:v>high</x:v>
      </x:c>
      <x:c r="H29" s="24" t="str">
        <x:v>2023</x:v>
      </x:c>
      <x:c r="I29" s="24" t="str">
        <x:v>Field context that even 25mm+ can affect PLR</x:v>
      </x:c>
      <x:c r="J29" s="24" t="str">
        <x:v>Performance degradation, not direct replacement-cost curve.</x:v>
      </x:c>
    </x:row>
    <x:row r="30">
      <x:c r="A30" s="24" t="str">
        <x:v>EV_HAIL_V1_DERIVATION</x:v>
      </x:c>
      <x:c r="B30" s="24" t="str">
        <x:v>derived_curve</x:v>
      </x:c>
      <x:c r="C30" s="24" t="str">
        <x:v>Hail × Solar v1.0 derivation sheet</x:v>
      </x:c>
      <x:c r="D30" s="24" t="str">
        <x:v>Hail_V1_Derivation</x:v>
      </x:c>
      <x:c r="E30" s="24" t="str">
        <x:v>CR_HAIL_SOLAR_MODULE_GLASS</x:v>
      </x:c>
      <x:c r="F30" s="24" t="str">
        <x:v>Logistic curve parameters and value translation</x:v>
      </x:c>
      <x:c r="G30" s="24" t="str">
        <x:v>medium</x:v>
      </x:c>
      <x:c r="H30" s="24" t="str">
        <x:v>2026-06-20</x:v>
      </x:c>
      <x:c r="I30" s="24" t="str">
        <x:v>Derived from public anchors and valuation workbook</x:v>
      </x:c>
      <x:c r="J30" s="24" t="str">
        <x:v>Not a private claims calibration; use plant-specific module BOM and stow logic where available.</x:v>
      </x:c>
    </x:row>
    <x:row r="31">
      <x:c r="A31" s="24" t="str">
        <x:v>EV_HAIL_V1_1_SITE_ADAPTATION</x:v>
      </x:c>
      <x:c r="B31" s="24" t="str">
        <x:v>model_interface</x:v>
      </x:c>
      <x:c r="C31" s="24" t="str">
        <x:v>Hail solar v1.1 site adaptation layer</x:v>
      </x:c>
      <x:c r="D31" s="24" t="str">
        <x:v>damage_curve_records_v1_1_hail_solar_site_adaptation.xlsx</x:v>
      </x:c>
      <x:c r="E31" s="24" t="str">
        <x:v>HAIL_SOLAR</x:v>
      </x:c>
      <x:c r="F31" s="24" t="str">
        <x:v>site inputs; conditioning; EAL bins</x:v>
      </x:c>
      <x:c r="G31" s="24" t="str">
        <x:v>medium</x:v>
      </x:c>
      <x:c r="H31" s="24" t="str">
        <x:v>2026</x:v>
      </x:c>
      <x:c r="I31" s="24" t="str">
        <x:v>Turns severity curve into site-conditioned risk interface</x:v>
      </x:c>
      <x:c r="J31" s="24" t="str">
        <x:v>Frequency values are illustrative until site-specific source is supplied.</x:v>
      </x:c>
    </x:row>
    <x:row r="32">
      <x:c r="A32" s="24" t="str">
        <x:v>EV_HAIL_FREQUENCY_INPUT</x:v>
      </x:c>
      <x:c r="B32" s="24" t="str">
        <x:v>hazard_input_placeholder</x:v>
      </x:c>
      <x:c r="C32" s="24" t="str">
        <x:v>Site MESH exceedance frequency table</x:v>
      </x:c>
      <x:c r="D32" s="24" t="str">
        <x:v>Hail_Hazard_Frequency</x:v>
      </x:c>
      <x:c r="E32" s="24" t="str">
        <x:v>HAIL_SOLAR</x:v>
      </x:c>
      <x:c r="F32" s="24" t="str">
        <x:v>annual exceedance probability</x:v>
      </x:c>
      <x:c r="G32" s="24" t="str">
        <x:v>placeholder</x:v>
      </x:c>
      <x:c r="H32" s="24" t="str">
        <x:v>2026</x:v>
      </x:c>
      <x:c r="I32" s="24" t="str">
        <x:v>Editable interface for site risk</x:v>
      </x:c>
      <x:c r="J32" s="24" t="str">
        <x:v>Default AEPs are illustrative and must be replaced.</x:v>
      </x:c>
    </x:row>
    <x:row r="33">
      <x:c r="A33" s="24" t="str">
        <x:v>EV_HAIL_STOW_CONDITIONER</x:v>
      </x:c>
      <x:c r="B33" s="24" t="str">
        <x:v>model_assumption</x:v>
      </x:c>
      <x:c r="C33" s="24" t="str">
        <x:v>Stow condition scenario</x:v>
      </x:c>
      <x:c r="D33" s="24" t="str">
        <x:v>Hail_Site_Inputs / Hail_Conditioning</x:v>
      </x:c>
      <x:c r="E33" s="24" t="str">
        <x:v>HAIL_SOLAR</x:v>
      </x:c>
      <x:c r="F33" s="24" t="str">
        <x:v>P(stowed); D50 shift; max DR multiplier</x:v>
      </x:c>
      <x:c r="G33" s="24" t="str">
        <x:v>placeholder</x:v>
      </x:c>
      <x:c r="H33" s="24" t="str">
        <x:v>2026</x:v>
      </x:c>
      <x:c r="I33" s="24" t="str">
        <x:v>Scenario conditioning</x:v>
      </x:c>
      <x:c r="J33" s="24" t="str">
        <x:v>Not a stochastic stow model.</x:v>
      </x:c>
    </x:row>
    <x:row r="34">
      <x:c r="A34" s="24" t="str">
        <x:v>EV_HAIL_RETURN_PERIOD_LOSS</x:v>
      </x:c>
      <x:c r="B34" s="24" t="str">
        <x:v>derived_output</x:v>
      </x:c>
      <x:c r="C34" s="24" t="str">
        <x:v>Return-period loss interface</x:v>
      </x:c>
      <x:c r="D34" s="24" t="str">
        <x:v>Hail_Return_Period_Loss</x:v>
      </x:c>
      <x:c r="E34" s="24" t="str">
        <x:v>HAIL_SOLAR</x:v>
      </x:c>
      <x:c r="F34" s="24" t="str">
        <x:v>return period %TIV and loss USD</x:v>
      </x:c>
      <x:c r="G34" s="24" t="str">
        <x:v>conditional</x:v>
      </x:c>
      <x:c r="H34" s="24" t="str">
        <x:v>2026</x:v>
      </x:c>
      <x:c r="I34" s="24" t="str">
        <x:v>Communication view</x:v>
      </x:c>
      <x:c r="J34" s="24" t="str">
        <x:v>Depends entirely on supplied frequency curve.</x:v>
      </x:c>
    </x:row>
  </x:sheetData>
  <x:pageMargins left="0.7" right="0.7" top="0.75" bottom="0.75" header="0.3" footer="0.3"/>
  <x:tableParts count="1">
    <x:tablePart xmlns:r="http://schemas.openxmlformats.org/officeDocument/2006/relationships" r:id="Rf3591670f8f0425b"/>
  </x:tableParts>
</x:worksheet>
</file>

<file path=xl/worksheets/sheet12.xml><?xml version="1.0" encoding="utf-8"?>
<x:worksheet xmlns:x="http://schemas.openxmlformats.org/spreadsheetml/2006/main">
  <x:sheetFormatPr defaultRowHeight="15"/>
  <x:cols>
    <x:col min="1" max="1" width="24" hidden="0" customWidth="1"/>
    <x:col min="2" max="2" width="30" hidden="0" customWidth="1"/>
    <x:col min="3" max="3" width="32" hidden="0" customWidth="1"/>
    <x:col min="4" max="4" width="24" hidden="0" customWidth="1"/>
    <x:col min="5" max="5" width="18" hidden="0" customWidth="1"/>
    <x:col min="6" max="6" width="18" hidden="0" customWidth="1"/>
    <x:col min="7" max="7" width="12" hidden="0" customWidth="1"/>
    <x:col min="8" max="8" width="18" hidden="0" customWidth="1"/>
    <x:col min="9" max="9" width="18" hidden="0" customWidth="1"/>
    <x:col min="10" max="10" width="16" hidden="0" customWidth="1"/>
    <x:col min="11" max="11" width="18" hidden="0" customWidth="1"/>
    <x:col min="12" max="12" width="18" hidden="0" customWidth="1"/>
    <x:col min="13" max="13" width="18" hidden="0" customWidth="1"/>
    <x:col min="14" max="14" width="32" hidden="0" customWidth="1"/>
    <x:col min="15" max="15" width="36" hidden="0" customWidth="1"/>
    <x:col min="16" max="16" width="18" hidden="0" customWidth="1"/>
    <x:col min="17" max="17" width="60" hidden="0" customWidth="1"/>
  </x:cols>
  <x:sheetData>
    <x:row r="1" ht="30" customHeight="1">
      <x:c r="A1" s="101" t="str">
        <x:v>cell_id</x:v>
      </x:c>
      <x:c r="B1" s="101" t="str">
        <x:v>failure_unit_id</x:v>
      </x:c>
      <x:c r="C1" s="101" t="str">
        <x:v>value_link_id</x:v>
      </x:c>
      <x:c r="D1" s="101" t="str">
        <x:v>basis</x:v>
      </x:c>
      <x:c r="E1" s="101" t="str">
        <x:v>physical_base_usd</x:v>
      </x:c>
      <x:c r="F1" s="101" t="str">
        <x:v>value_share_physical_base</x:v>
      </x:c>
      <x:c r="G1" s="101" t="str">
        <x:v>at_risk_f</x:v>
      </x:c>
      <x:c r="H1" s="101" t="str">
        <x:v>exposure_fraction_default</x:v>
      </x:c>
      <x:c r="I1" s="101" t="str">
        <x:v>cap_L_usd</x:v>
      </x:c>
      <x:c r="J1" s="101" t="str">
        <x:v>cap_L_asset_pct</x:v>
      </x:c>
      <x:c r="K1" s="101" t="str">
        <x:v>rough_p_cap_region</x:v>
      </x:c>
      <x:c r="L1" s="101" t="str">
        <x:v>rough_curve_spread_score</x:v>
      </x:c>
      <x:c r="M1" s="101" t="str">
        <x:v>scalar_bias_risk</x:v>
      </x:c>
      <x:c r="N1" s="101" t="str">
        <x:v>EAL_status</x:v>
      </x:c>
      <x:c r="O1" s="101" t="str">
        <x:v>tail_status</x:v>
      </x:c>
      <x:c r="P1" s="101" t="str">
        <x:v>preflight_status</x:v>
      </x:c>
      <x:c r="Q1" s="101" t="str">
        <x:v>notes</x:v>
      </x:c>
      <x:c r="R1" s="37"/>
      <x:c r="S1" s="37"/>
      <x:c r="T1" s="37"/>
      <x:c r="U1" s="37"/>
      <x:c r="V1" s="37"/>
      <x:c r="W1" s="37"/>
      <x:c r="X1" s="37"/>
      <x:c r="Y1" s="37"/>
      <x:c r="Z1" s="37"/>
    </x:row>
    <x:row r="2" ht="30" customHeight="1">
      <x:c r="A2" s="24" t="str">
        <x:v>HAIL_SOLAR</x:v>
      </x:c>
      <x:c r="B2" s="24" t="str">
        <x:v>PV_MODULE_GLASS_CELL</x:v>
      </x:c>
      <x:c r="C2" s="24" t="str">
        <x:v>VL_HAIL_SOLAR_MODULE_GLASS</x:v>
      </x:c>
      <x:c r="D2" s="24" t="str">
        <x:v>physical_replaceable</x:v>
      </x:c>
      <x:c r="E2" s="32" t="n">
        <x:v>87779570.23626667</x:v>
      </x:c>
      <x:c r="F2" s="33" t="n">
        <x:v>0.3317569801903719</x:v>
      </x:c>
      <x:c r="G2" s="33" t="n">
        <x:v>0.8</x:v>
      </x:c>
      <x:c r="H2" s="33" t="n">
        <x:v>1</x:v>
      </x:c>
      <x:c r="I2" s="32" t="n">
        <x:v>23297188.11519399</x:v>
      </x:c>
      <x:c r="J2" s="33" t="n">
        <x:v>0.26540558415229754</x:v>
      </x:c>
      <x:c r="K2" s="24" t="str">
        <x:v>Medium/High above ~65mm; cap approaches 20.8% TIV under default f</x:v>
      </x:c>
      <x:c r="L2" s="33" t="n">
        <x:v>0.25</x:v>
      </x:c>
      <x:c r="M2" s="24" t="str">
        <x:v>Medium/High</x:v>
      </x:c>
      <x:c r="N2" s="24" t="str">
        <x:v>Conditional: curve ready, EAL still requires site hail frequency and uncertainty/spread</x:v>
      </x:c>
      <x:c r="O2" s="24" t="str">
        <x:v>Withhold for PML/tail until hazard distribution + curve spread are available</x:v>
      </x:c>
      <x:c r="P2" s="24" t="str">
        <x:v>v1 preflight complete; tail withheld</x:v>
      </x:c>
      <x:c r="Q2" s="24" t="str">
        <x:v>Default logistic hits ~8.1% TIV at 50mm, ~12.4% at 55mm, ~18.4% at 65mm; module-BOM f and stow remain load-bearing.</x:v>
      </x:c>
    </x:row>
    <x:row r="3" ht="30" customHeight="1">
      <x:c r="A3" s="24" t="str">
        <x:v>HAIL_SOLAR</x:v>
      </x:c>
      <x:c r="B3" s="24" t="str">
        <x:v>TRACKER_RACKING_STOW_DAMAGE</x:v>
      </x:c>
      <x:c r="C3" s="24" t="str">
        <x:v>VL_HAIL_SOLAR_TRACKER_MOUNTING</x:v>
      </x:c>
      <x:c r="D3" s="24" t="str">
        <x:v>physical_replaceable</x:v>
      </x:c>
      <x:c r="E3" s="32" t="n">
        <x:v>87779570.23626667</x:v>
      </x:c>
      <x:c r="F3" s="33" t="n">
        <x:v>0.17460064821189467</x:v>
      </x:c>
      <x:c r="G3" s="33" t="n">
        <x:v>0.5</x:v>
      </x:c>
      <x:c r="H3" s="33" t="n">
        <x:v>1</x:v>
      </x:c>
      <x:c r="I3" s="32" t="n">
        <x:v>7663184.931506848</x:v>
      </x:c>
      <x:c r="J3" s="33" t="n">
        <x:v>0.08730032410594733</x:v>
      </x:c>
      <x:c r="K3" s="24" t="str">
        <x:v>Medium</x:v>
      </x:c>
      <x:c r="L3" s="33" t="n">
        <x:v>0.1</x:v>
      </x:c>
      <x:c r="M3" s="24" t="str">
        <x:v>Medium</x:v>
      </x:c>
      <x:c r="N3" s="24" t="str">
        <x:v>Provisional; cap check required</x:v>
      </x:c>
      <x:c r="O3" s="24" t="str">
        <x:v>Withhold until spread/states/distribution exists</x:v>
      </x:c>
      <x:c r="P3" s="24" t="str">
        <x:v>Required</x:v>
      </x:c>
      <x:c r="Q3" s="24" t="str">
        <x:v>May become DR0; tracker may be conditioner more than failure-unit. Axis is diameter/MESH; stow/forecast correlation is open seam.</x:v>
      </x:c>
    </x:row>
    <x:row r="4" ht="30" customHeight="1">
      <x:c r="A4" s="24" t="str">
        <x:v>FLOOD_SOLAR</x:v>
      </x:c>
      <x:c r="B4" s="24" t="str">
        <x:v>INVERTER_INGRESS</x:v>
      </x:c>
      <x:c r="C4" s="24" t="str">
        <x:v>VL_FLOOD_SOLAR_INVERTER</x:v>
      </x:c>
      <x:c r="D4" s="24" t="str">
        <x:v>physical_replaceable</x:v>
      </x:c>
      <x:c r="E4" s="32" t="n">
        <x:v>87779570.23626667</x:v>
      </x:c>
      <x:c r="F4" s="33" t="n">
        <x:v>0.044580551380057336</x:v>
      </x:c>
      <x:c r="G4" s="33" t="n">
        <x:v>1</x:v>
      </x:c>
      <x:c r="H4" s="33" t="n">
        <x:v>0.5</x:v>
      </x:c>
      <x:c r="I4" s="32" t="n">
        <x:v>1956630.820518619</x:v>
      </x:c>
      <x:c r="J4" s="33" t="n">
        <x:v>0.022290275690028668</x:v>
      </x:c>
      <x:c r="K4" s="24" t="str">
        <x:v>Medium</x:v>
      </x:c>
      <x:c r="L4" s="33" t="n">
        <x:v>0.15</x:v>
      </x:c>
      <x:c r="M4" s="24" t="str">
        <x:v>Medium</x:v>
      </x:c>
      <x:c r="N4" s="24" t="str">
        <x:v>Provisional; cap check required</x:v>
      </x:c>
      <x:c r="O4" s="24" t="str">
        <x:v>Withhold until spread/states/distribution exists</x:v>
      </x:c>
      <x:c r="P4" s="24" t="str">
        <x:v>Required</x:v>
      </x:c>
      <x:c r="Q4" s="24" t="str">
        <x:v>Geometry f drives exposure; cap likely moderate.</x:v>
      </x:c>
    </x:row>
    <x:row r="5" ht="30" customHeight="1">
      <x:c r="A5" s="24" t="str">
        <x:v>FLOOD_SOLAR</x:v>
      </x:c>
      <x:c r="B5" s="24" t="str">
        <x:v>SUBSTATION_INGRESS</x:v>
      </x:c>
      <x:c r="C5" s="24" t="str">
        <x:v>VL_FLOOD_SOLAR_SUBSTATION</x:v>
      </x:c>
      <x:c r="D5" s="24" t="str">
        <x:v>physical_replaceable</x:v>
      </x:c>
      <x:c r="E5" s="32" t="n">
        <x:v>87779570.23626667</x:v>
      </x:c>
      <x:c r="F5" s="33" t="n">
        <x:v>0.12133194989726824</x:v>
      </x:c>
      <x:c r="G5" s="33" t="n">
        <x:v>1</x:v>
      </x:c>
      <x:c r="H5" s="33" t="n">
        <x:v>0.5</x:v>
      </x:c>
      <x:c r="I5" s="32" t="n">
        <x:v>5325233.208955223</x:v>
      </x:c>
      <x:c r="J5" s="33" t="n">
        <x:v>0.06066597494863412</x:v>
      </x:c>
      <x:c r="K5" s="24" t="str">
        <x:v>Medium</x:v>
      </x:c>
      <x:c r="L5" s="33" t="n">
        <x:v>0.18</x:v>
      </x:c>
      <x:c r="M5" s="24" t="str">
        <x:v>Medium</x:v>
      </x:c>
      <x:c r="N5" s="24" t="str">
        <x:v>Provisional; cap check required</x:v>
      </x:c>
      <x:c r="O5" s="24" t="str">
        <x:v>Withhold until spread/states/distribution exists</x:v>
      </x:c>
      <x:c r="P5" s="24" t="str">
        <x:v>Required</x:v>
      </x:c>
      <x:c r="Q5" s="24" t="str">
        <x:v>Shared plant asset; can be material if low-lying.</x:v>
      </x:c>
    </x:row>
    <x:row r="6" ht="30" customHeight="1">
      <x:c r="A6" s="24" t="str">
        <x:v>FLOOD_SOLAR</x:v>
      </x:c>
      <x:c r="B6" s="24" t="str">
        <x:v>COLLECTION_CABLE_TRENCH</x:v>
      </x:c>
      <x:c r="C6" s="24" t="str">
        <x:v>VL_FLOOD_SOLAR_COLLECTION</x:v>
      </x:c>
      <x:c r="D6" s="24" t="str">
        <x:v>physical_replaceable</x:v>
      </x:c>
      <x:c r="E6" s="32" t="n">
        <x:v>87779570.23626667</x:v>
      </x:c>
      <x:c r="F6" s="33" t="n">
        <x:v>0.12391023656366708</x:v>
      </x:c>
      <x:c r="G6" s="33" t="n">
        <x:v>0.6</x:v>
      </x:c>
      <x:c r="H6" s="33" t="n">
        <x:v>0.5</x:v>
      </x:c>
      <x:c r="I6" s="32" t="n">
        <x:v>3263036.19402985</x:v>
      </x:c>
      <x:c r="J6" s="33" t="n">
        <x:v>0.03717307096910012</x:v>
      </x:c>
      <x:c r="K6" s="24" t="str">
        <x:v>Low/Medium</x:v>
      </x:c>
      <x:c r="L6" s="33" t="n">
        <x:v>0.1</x:v>
      </x:c>
      <x:c r="M6" s="24" t="str">
        <x:v>Medium</x:v>
      </x:c>
      <x:c r="N6" s="24" t="str">
        <x:v>Provisional; cap check required</x:v>
      </x:c>
      <x:c r="O6" s="24" t="str">
        <x:v>Withhold until spread/states/distribution exists</x:v>
      </x:c>
      <x:c r="P6" s="24" t="str">
        <x:v>Required</x:v>
      </x:c>
      <x:c r="Q6" s="24" t="str">
        <x:v>Likely exposure subset; site-specific.</x:v>
      </x:c>
    </x:row>
    <x:row r="7" ht="30" customHeight="1">
      <x:c r="A7" s="24" t="str">
        <x:v>FLOOD_SOLAR</x:v>
      </x:c>
      <x:c r="B7" s="24" t="str">
        <x:v>FOUNDATION_SCOUR</x:v>
      </x:c>
      <x:c r="C7" s="24" t="str">
        <x:v>VL_FLOOD_SOLAR_FOUNDATION_SCOUR</x:v>
      </x:c>
      <x:c r="D7" s="24" t="str">
        <x:v>physical_replaceable</x:v>
      </x:c>
      <x:c r="E7" s="32" t="n">
        <x:v>87779570.23626667</x:v>
      </x:c>
      <x:c r="F7" s="33" t="n">
        <x:v>0.03545755244585994</x:v>
      </x:c>
      <x:c r="G7" s="33" t="n">
        <x:v>1</x:v>
      </x:c>
      <x:c r="H7" s="33" t="n">
        <x:v>0.5</x:v>
      </x:c>
      <x:c r="I7" s="32" t="n">
        <x:v>1556224.357663736</x:v>
      </x:c>
      <x:c r="J7" s="33" t="n">
        <x:v>0.01772877622292997</x:v>
      </x:c>
      <x:c r="K7" s="24" t="str">
        <x:v>Low/Medium</x:v>
      </x:c>
      <x:c r="L7" s="33" t="n">
        <x:v>0.1</x:v>
      </x:c>
      <x:c r="M7" s="24" t="str">
        <x:v>Medium</x:v>
      </x:c>
      <x:c r="N7" s="24" t="str">
        <x:v>Provisional; cap check required</x:v>
      </x:c>
      <x:c r="O7" s="24" t="str">
        <x:v>Withhold until spread/states/distribution exists</x:v>
      </x:c>
      <x:c r="P7" s="24" t="str">
        <x:v>Required</x:v>
      </x:c>
      <x:c r="Q7" s="24" t="str">
        <x:v>Velocity/scour not depth; split axis.</x:v>
      </x:c>
    </x:row>
    <x:row r="8" ht="30" customHeight="1">
      <x:c r="A8" s="24" t="str">
        <x:v>WIND_TORNADO_WIND</x:v>
      </x:c>
      <x:c r="B8" s="24" t="str">
        <x:v>BLADE_STRUCTURAL</x:v>
      </x:c>
      <x:c r="C8" s="24" t="str">
        <x:v>VL_WIND_TORNADO_BLADE</x:v>
      </x:c>
      <x:c r="D8" s="24" t="str">
        <x:v>physical_replaceable</x:v>
      </x:c>
      <x:c r="E8" s="32" t="n">
        <x:v>324600000</x:v>
      </x:c>
      <x:c r="F8" s="33" t="n">
        <x:v>0.17375231053604437</x:v>
      </x:c>
      <x:c r="G8" s="33" t="n">
        <x:v>1</x:v>
      </x:c>
      <x:c r="H8" s="33" t="n">
        <x:v>1</x:v>
      </x:c>
      <x:c r="I8" s="32" t="n">
        <x:v>56400000</x:v>
      </x:c>
      <x:c r="J8" s="33" t="n">
        <x:v>0.17375231053604437</x:v>
      </x:c>
      <x:c r="K8" s="24" t="str">
        <x:v>Medium</x:v>
      </x:c>
      <x:c r="L8" s="33" t="n">
        <x:v>0.2</x:v>
      </x:c>
      <x:c r="M8" s="24" t="str">
        <x:v>High</x:v>
      </x:c>
      <x:c r="N8" s="24" t="str">
        <x:v>Needs spread/states before EAL</x:v>
      </x:c>
      <x:c r="O8" s="24" t="str">
        <x:v>Withhold until spread/states/distribution exists</x:v>
      </x:c>
      <x:c r="P8" s="24" t="str">
        <x:v>Required</x:v>
      </x:c>
      <x:c r="Q8" s="24" t="str">
        <x:v>Large cap; repeated turbines/spatial exposure.</x:v>
      </x:c>
    </x:row>
    <x:row r="9" ht="30" customHeight="1">
      <x:c r="A9" s="24" t="str">
        <x:v>WIND_TORNADO_WIND</x:v>
      </x:c>
      <x:c r="B9" s="24" t="str">
        <x:v>TOWER_STRUCTURAL</x:v>
      </x:c>
      <x:c r="C9" s="24" t="str">
        <x:v>VL_WIND_TORNADO_TOWER</x:v>
      </x:c>
      <x:c r="D9" s="24" t="str">
        <x:v>physical_replaceable</x:v>
      </x:c>
      <x:c r="E9" s="32" t="n">
        <x:v>324600000</x:v>
      </x:c>
      <x:c r="F9" s="33" t="n">
        <x:v>0.17005545286506468</x:v>
      </x:c>
      <x:c r="G9" s="33" t="n">
        <x:v>1</x:v>
      </x:c>
      <x:c r="H9" s="33" t="n">
        <x:v>1</x:v>
      </x:c>
      <x:c r="I9" s="32" t="n">
        <x:v>55199999.99999999</x:v>
      </x:c>
      <x:c r="J9" s="33" t="n">
        <x:v>0.17005545286506468</x:v>
      </x:c>
      <x:c r="K9" s="24" t="str">
        <x:v>Medium</x:v>
      </x:c>
      <x:c r="L9" s="33" t="n">
        <x:v>0.2</x:v>
      </x:c>
      <x:c r="M9" s="24" t="str">
        <x:v>High</x:v>
      </x:c>
      <x:c r="N9" s="24" t="str">
        <x:v>Needs spread/states before EAL</x:v>
      </x:c>
      <x:c r="O9" s="24" t="str">
        <x:v>Withhold until spread/states/distribution exists</x:v>
      </x:c>
      <x:c r="P9" s="24" t="str">
        <x:v>Required</x:v>
      </x:c>
      <x:c r="Q9" s="24" t="str">
        <x:v>Large cap; coordinate with foundation.</x:v>
      </x:c>
    </x:row>
    <x:row r="10" ht="30" customHeight="1">
      <x:c r="A10" s="24" t="str">
        <x:v>WIND_TORNADO_WIND</x:v>
      </x:c>
      <x:c r="B10" s="24" t="str">
        <x:v>NACELLE_STRUCTURAL</x:v>
      </x:c>
      <x:c r="C10" s="24" t="str">
        <x:v>VL_WIND_TORNADO_NACELLE</x:v>
      </x:c>
      <x:c r="D10" s="24" t="str">
        <x:v>physical_replaceable</x:v>
      </x:c>
      <x:c r="E10" s="32" t="n">
        <x:v>324600000</x:v>
      </x:c>
      <x:c r="F10" s="33" t="n">
        <x:v>0.20948860135551448</x:v>
      </x:c>
      <x:c r="G10" s="33" t="n">
        <x:v>1</x:v>
      </x:c>
      <x:c r="H10" s="33" t="n">
        <x:v>1</x:v>
      </x:c>
      <x:c r="I10" s="32" t="n">
        <x:v>68000000</x:v>
      </x:c>
      <x:c r="J10" s="33" t="n">
        <x:v>0.20948860135551448</x:v>
      </x:c>
      <x:c r="K10" s="24" t="str">
        <x:v>Medium</x:v>
      </x:c>
      <x:c r="L10" s="33" t="n">
        <x:v>0.2</x:v>
      </x:c>
      <x:c r="M10" s="24" t="str">
        <x:v>High</x:v>
      </x:c>
      <x:c r="N10" s="24" t="str">
        <x:v>Needs spread/states before EAL</x:v>
      </x:c>
      <x:c r="O10" s="24" t="str">
        <x:v>Withhold until spread/states/distribution exists</x:v>
      </x:c>
      <x:c r="P10" s="24" t="str">
        <x:v>Required</x:v>
      </x:c>
      <x:c r="Q10" s="24" t="str">
        <x:v>Largest single wind value bucket in scaffold.</x:v>
      </x:c>
    </x:row>
    <x:row r="11" ht="30" customHeight="1">
      <x:c r="A11" s="24" t="str">
        <x:v>WIND_TORNADO_WIND</x:v>
      </x:c>
      <x:c r="B11" s="24" t="str">
        <x:v>FOUNDATION_OVERTURNING</x:v>
      </x:c>
      <x:c r="C11" s="24" t="str">
        <x:v>VL_WIND_TORNADO_FOUNDATION</x:v>
      </x:c>
      <x:c r="D11" s="24" t="str">
        <x:v>physical_replaceable</x:v>
      </x:c>
      <x:c r="E11" s="32" t="n">
        <x:v>324600000</x:v>
      </x:c>
      <x:c r="F11" s="33" t="n">
        <x:v>0.07393715341959335</x:v>
      </x:c>
      <x:c r="G11" s="33" t="n">
        <x:v>1</x:v>
      </x:c>
      <x:c r="H11" s="33" t="n">
        <x:v>1</x:v>
      </x:c>
      <x:c r="I11" s="32" t="n">
        <x:v>24000000.000000004</x:v>
      </x:c>
      <x:c r="J11" s="33" t="n">
        <x:v>0.07393715341959335</x:v>
      </x:c>
      <x:c r="K11" s="24" t="str">
        <x:v>Low/Medium</x:v>
      </x:c>
      <x:c r="L11" s="33" t="n">
        <x:v>0.12</x:v>
      </x:c>
      <x:c r="M11" s="24" t="str">
        <x:v>Medium</x:v>
      </x:c>
      <x:c r="N11" s="24" t="str">
        <x:v>Provisional; cap check required</x:v>
      </x:c>
      <x:c r="O11" s="24" t="str">
        <x:v>Withhold until spread/states/distribution exists</x:v>
      </x:c>
      <x:c r="P11" s="24" t="str">
        <x:v>Required</x:v>
      </x:c>
      <x:c r="Q11" s="24" t="str">
        <x:v>May be coupled with tower failure.</x:v>
      </x:c>
    </x:row>
    <x:row r="12" ht="30" customHeight="1">
      <x:c r="A12" s="24" t="str">
        <x:v>WILDFIRE_SOLAR</x:v>
      </x:c>
      <x:c r="B12" s="24" t="str">
        <x:v>PV_MODULE_THERMAL</x:v>
      </x:c>
      <x:c r="C12" s="24" t="str">
        <x:v>VL_WILDFIRE_SOLAR_MODULE</x:v>
      </x:c>
      <x:c r="D12" s="24" t="str">
        <x:v>physical_replaceable</x:v>
      </x:c>
      <x:c r="E12" s="32" t="n">
        <x:v>87779570.23626667</x:v>
      </x:c>
      <x:c r="F12" s="33" t="n">
        <x:v>0.3317569801903719</x:v>
      </x:c>
      <x:c r="G12" s="33" t="n">
        <x:v>0.3</x:v>
      </x:c>
      <x:c r="H12" s="33" t="n">
        <x:v>1</x:v>
      </x:c>
      <x:c r="I12" s="32" t="n">
        <x:v>8736445.543197745</x:v>
      </x:c>
      <x:c r="J12" s="33" t="n">
        <x:v>0.09952709405711158</x:v>
      </x:c>
      <x:c r="K12" s="24" t="str">
        <x:v>Unknown</x:v>
      </x:c>
      <x:c r="L12" s="33" t="n">
        <x:v>0.2</x:v>
      </x:c>
      <x:c r="M12" s="24" t="str">
        <x:v>High</x:v>
      </x:c>
      <x:c r="N12" s="24" t="str">
        <x:v>Needs spread/states before EAL</x:v>
      </x:c>
      <x:c r="O12" s="24" t="str">
        <x:v>Withhold until spread/states/distribution exists</x:v>
      </x:c>
      <x:c r="P12" s="24" t="str">
        <x:v>Required</x:v>
      </x:c>
      <x:c r="Q12" s="24" t="str">
        <x:v>Residence time seam; f uncertain.</x:v>
      </x:c>
    </x:row>
    <x:row r="13" ht="30" customHeight="1">
      <x:c r="A13" s="24" t="str">
        <x:v>WILDFIRE_SOLAR</x:v>
      </x:c>
      <x:c r="B13" s="24" t="str">
        <x:v>INVERTER_CABINET_THERMAL</x:v>
      </x:c>
      <x:c r="C13" s="24" t="str">
        <x:v>VL_WILDFIRE_SOLAR_INVERTER</x:v>
      </x:c>
      <x:c r="D13" s="24" t="str">
        <x:v>physical_replaceable</x:v>
      </x:c>
      <x:c r="E13" s="32" t="n">
        <x:v>87779570.23626667</x:v>
      </x:c>
      <x:c r="F13" s="33" t="n">
        <x:v>0.044580551380057336</x:v>
      </x:c>
      <x:c r="G13" s="33" t="n">
        <x:v>1</x:v>
      </x:c>
      <x:c r="H13" s="33" t="n">
        <x:v>1</x:v>
      </x:c>
      <x:c r="I13" s="32" t="n">
        <x:v>3913261.641037238</x:v>
      </x:c>
      <x:c r="J13" s="33" t="n">
        <x:v>0.044580551380057336</x:v>
      </x:c>
      <x:c r="K13" s="24" t="str">
        <x:v>Unknown</x:v>
      </x:c>
      <x:c r="L13" s="33" t="n">
        <x:v>0.15</x:v>
      </x:c>
      <x:c r="M13" s="24" t="str">
        <x:v>Medium</x:v>
      </x:c>
      <x:c r="N13" s="24" t="str">
        <x:v>Provisional; cap check required</x:v>
      </x:c>
      <x:c r="O13" s="24" t="str">
        <x:v>Withhold until spread/states/distribution exists</x:v>
      </x:c>
      <x:c r="P13" s="24" t="str">
        <x:v>Required</x:v>
      </x:c>
      <x:c r="Q13" s="24" t="str">
        <x:v>Thermal duration is open seam.</x:v>
      </x:c>
    </x:row>
    <x:row r="14" ht="30" customHeight="1">
      <x:c r="A14" s="24" t="str">
        <x:v>WILDFIRE_SOLAR</x:v>
      </x:c>
      <x:c r="B14" s="24" t="str">
        <x:v>CABLE_CONNECTOR_THERMAL</x:v>
      </x:c>
      <x:c r="C14" s="24" t="str">
        <x:v>VL_WILDFIRE_SOLAR_COLLECTION</x:v>
      </x:c>
      <x:c r="D14" s="24" t="str">
        <x:v>physical_replaceable</x:v>
      </x:c>
      <x:c r="E14" s="32" t="n">
        <x:v>87779570.23626667</x:v>
      </x:c>
      <x:c r="F14" s="33" t="n">
        <x:v>0.12391023656366708</x:v>
      </x:c>
      <x:c r="G14" s="33" t="n">
        <x:v>0.4</x:v>
      </x:c>
      <x:c r="H14" s="33" t="n">
        <x:v>1</x:v>
      </x:c>
      <x:c r="I14" s="32" t="n">
        <x:v>4350714.925373133</x:v>
      </x:c>
      <x:c r="J14" s="33" t="n">
        <x:v>0.049564094625466834</x:v>
      </x:c>
      <x:c r="K14" s="24" t="str">
        <x:v>Unknown</x:v>
      </x:c>
      <x:c r="L14" s="33" t="n">
        <x:v>0.15</x:v>
      </x:c>
      <x:c r="M14" s="24" t="str">
        <x:v>Medium</x:v>
      </x:c>
      <x:c r="N14" s="24" t="str">
        <x:v>Provisional; cap check required</x:v>
      </x:c>
      <x:c r="O14" s="24" t="str">
        <x:v>Withhold until spread/states/distribution exists</x:v>
      </x:c>
      <x:c r="P14" s="24" t="str">
        <x:v>Required</x:v>
      </x:c>
      <x:c r="Q14" s="24" t="str">
        <x:v>Exposed cable share uncertain.</x:v>
      </x:c>
    </x:row>
  </x:sheetData>
  <x:conditionalFormatting sqref="J2:J14">
    <x:cfRule type="dataBar" priority="1">
      <x:dataBar>
        <x:cfvo type="min"/>
        <x:cfvo type="max"/>
        <x:color rgb="FF5B9BD5"/>
      </x:dataBar>
      <x:extLst>
        <x:ext xmlns:x14="http://schemas.microsoft.com/office/spreadsheetml/2009/9/main" uri="{B025F937-C7B1-47D3-B67F-A62EFF666E3E}">
          <x14:id>{6FC9D73B-083F-724A-396B-97181F46A2A0}</x14:id>
        </x:ext>
      </x:extLst>
    </x:cfRule>
  </x:conditionalFormatting>
  <x:dataValidations count="2">
    <x:dataValidation type="list" sqref="K2:K14">
      <x:formula1>Lists!$B$2:$B$7</x:formula1>
    </x:dataValidation>
    <x:dataValidation type="list" sqref="M2:M14">
      <x:formula1>Lists!$B$2:$B$6</x:formula1>
    </x:dataValidation>
  </x:dataValidations>
  <x:pageMargins left="0.7" right="0.7" top="0.75" bottom="0.75" header="0.3" footer="0.3"/>
  <x:tableParts count="1">
    <x:tablePart xmlns:r="http://schemas.openxmlformats.org/officeDocument/2006/relationships" r:id="R5cf70a7f004548de"/>
  </x:tableParts>
  <x:extLst>
    <x:ext xmlns:x14="http://schemas.microsoft.com/office/spreadsheetml/2009/9/main" xmlns:xm="http://schemas.microsoft.com/office/excel/2006/main" uri="{78C0D931-6437-407d-A8EE-F0AAD7539E65}">
      <x14:conditionalFormattings>
        <x14:conditionalFormatting>
          <x14:cfRule type="dataBar" priority="1" id="{6FC9D73B-083F-724A-396B-97181F46A2A0}">
            <x14:dataBar gradient="1">
              <x14:cfvo type="min"/>
              <x14:cfvo type="max"/>
              <x14:fillColor rgb="FF5B9BD5"/>
            </x14:dataBar>
          </x14:cfRule>
          <xm:sqref>J2:J14</xm:sqref>
        </x14:conditionalFormatting>
      </x14:conditionalFormattings>
    </x:ext>
  </x:extLst>
</x:worksheet>
</file>

<file path=xl/worksheets/sheet13.xml><?xml version="1.0" encoding="utf-8"?>
<x:worksheet xmlns:x="http://schemas.openxmlformats.org/spreadsheetml/2006/main">
  <x:sheetFormatPr defaultRowHeight="15"/>
  <x:cols>
    <x:col min="1" max="1" width="30" hidden="0" customWidth="1"/>
    <x:col min="2" max="2" width="32" hidden="0" customWidth="1"/>
    <x:col min="3" max="3" width="34" hidden="0" customWidth="1"/>
    <x:col min="4" max="4" width="18" hidden="0" customWidth="1"/>
    <x:col min="5" max="5" width="18" hidden="0" customWidth="1"/>
    <x:col min="6" max="6" width="22" hidden="0" customWidth="1"/>
    <x:col min="7" max="7" width="16" hidden="0" customWidth="1"/>
    <x:col min="8" max="8" width="34" hidden="0" customWidth="1"/>
    <x:col min="9" max="9" width="14" hidden="0" customWidth="1"/>
    <x:col min="10" max="10" width="18" hidden="0" customWidth="1"/>
    <x:col min="11" max="11" width="24" hidden="0" customWidth="1"/>
    <x:col min="12" max="12" width="60" hidden="0" customWidth="1"/>
    <x:col min="13" max="13" width="60" hidden="0" customWidth="1"/>
  </x:cols>
  <x:sheetData>
    <x:row r="1" ht="30" customHeight="1">
      <x:c r="A1" s="46" t="str">
        <x:v>emit_policy_id</x:v>
      </x:c>
      <x:c r="B1" s="46" t="str">
        <x:v>metrics_policy_id</x:v>
      </x:c>
      <x:c r="C1" s="46" t="str">
        <x:v>curve_record_id</x:v>
      </x:c>
      <x:c r="D1" s="46" t="str">
        <x:v>emit_type</x:v>
      </x:c>
      <x:c r="E1" s="46" t="str">
        <x:v>spread_available</x:v>
      </x:c>
      <x:c r="F1" s="46" t="str">
        <x:v>cap_binding_risk</x:v>
      </x:c>
      <x:c r="G1" s="46" t="str">
        <x:v>EAL_allowed</x:v>
      </x:c>
      <x:c r="H1" s="46" t="str">
        <x:v>EAL_status</x:v>
      </x:c>
      <x:c r="I1" s="46" t="str">
        <x:v>tail_allowed</x:v>
      </x:c>
      <x:c r="J1" s="46" t="str">
        <x:v>tail_status</x:v>
      </x:c>
      <x:c r="K1" s="46" t="str">
        <x:v>financial_terms_included</x:v>
      </x:c>
      <x:c r="L1" s="46" t="str">
        <x:v>withheld_reason</x:v>
      </x:c>
      <x:c r="M1" s="46" t="str">
        <x:v>notes</x:v>
      </x:c>
      <x:c r="N1" s="37"/>
      <x:c r="O1" s="37"/>
      <x:c r="P1" s="37"/>
      <x:c r="Q1" s="37"/>
      <x:c r="R1" s="37"/>
      <x:c r="S1" s="37"/>
      <x:c r="T1" s="37"/>
      <x:c r="U1" s="37"/>
      <x:c r="V1" s="37"/>
      <x:c r="W1" s="37"/>
      <x:c r="X1" s="37"/>
      <x:c r="Y1" s="37"/>
      <x:c r="Z1" s="37"/>
    </x:row>
    <x:row r="2" ht="30" customHeight="1">
      <x:c r="A2" s="24" t="str">
        <x:v>EMIT_HAIL_SOLAR_MODULE</x:v>
      </x:c>
      <x:c r="B2" s="24" t="str">
        <x:v>METRIC_HAIL_SOLAR_MODULE</x:v>
      </x:c>
      <x:c r="C2" s="24" t="str">
        <x:v>CR_HAIL_SOLAR_MODULE_GLASS</x:v>
      </x:c>
      <x:c r="D2" s="24" t="str">
        <x:v>pending</x:v>
      </x:c>
      <x:c r="E2" s="24" t="str">
        <x:v>No/placeholder</x:v>
      </x:c>
      <x:c r="F2" s="24" t="str">
        <x:v>from Cap_Binding_Preflight</x:v>
      </x:c>
      <x:c r="G2" s="24" t="str">
        <x:v>pending</x:v>
      </x:c>
      <x:c r="H2" s="24" t="str">
        <x:v>Pending cap-binding preflight</x:v>
      </x:c>
      <x:c r="I2" s="24" t="str">
        <x:v>No</x:v>
      </x:c>
      <x:c r="J2" s="24" t="str">
        <x:v>Withheld</x:v>
      </x:c>
      <x:c r="K2" s="24" t="str">
        <x:v>No</x:v>
      </x:c>
      <x:c r="L2" s="24" t="str">
        <x:v>Scalar carries no quantiles; withhold tail until spread/states/distribution exists.</x:v>
      </x:c>
      <x:c r="M2" s="24" t="str">
        <x:v>First proving record. Use diameter/MESH as operational axis; if KE bridge is used, cap-binding preflight must include bridge uncertainty.</x:v>
      </x:c>
    </x:row>
    <x:row r="3" ht="30" customHeight="1">
      <x:c r="A3" s="24" t="str">
        <x:v>EMIT_HAIL_SOLAR_TRACKER</x:v>
      </x:c>
      <x:c r="B3" s="24" t="str">
        <x:v>METRIC_HAIL_SOLAR_TRACKER</x:v>
      </x:c>
      <x:c r="C3" s="24" t="str">
        <x:v>CR_HAIL_SOLAR_TRACKER_MOUNTING</x:v>
      </x:c>
      <x:c r="D3" s="24" t="str">
        <x:v>pending</x:v>
      </x:c>
      <x:c r="E3" s="24" t="str">
        <x:v>No/placeholder</x:v>
      </x:c>
      <x:c r="F3" s="24" t="str">
        <x:v>from Cap_Binding_Preflight</x:v>
      </x:c>
      <x:c r="G3" s="24" t="str">
        <x:v>pending</x:v>
      </x:c>
      <x:c r="H3" s="24" t="str">
        <x:v>Pending cap-binding preflight</x:v>
      </x:c>
      <x:c r="I3" s="24" t="str">
        <x:v>No</x:v>
      </x:c>
      <x:c r="J3" s="24" t="str">
        <x:v>Withheld</x:v>
      </x:c>
      <x:c r="K3" s="24" t="str">
        <x:v>No</x:v>
      </x:c>
      <x:c r="L3" s="24" t="str">
        <x:v>Scalar carries no quantiles; withhold tail until spread/states/distribution exists.</x:v>
      </x:c>
      <x:c r="M3" s="24" t="str">
        <x:v>May become DR≈0; if retained, curve should use diameter/MESH and separate stow from damage.</x:v>
      </x:c>
    </x:row>
    <x:row r="4" ht="30" customHeight="1">
      <x:c r="A4" s="24" t="str">
        <x:v>EMIT_DR0</x:v>
      </x:c>
      <x:c r="B4" s="24" t="str">
        <x:v>METRIC_DR0</x:v>
      </x:c>
      <x:c r="C4" s="24" t="str">
        <x:v>CR_HAIL_SOLAR_NONPHYSICAL_DR0</x:v>
      </x:c>
      <x:c r="D4" s="24" t="str">
        <x:v>DR0</x:v>
      </x:c>
      <x:c r="E4" s="24" t="str">
        <x:v>No/placeholder</x:v>
      </x:c>
      <x:c r="F4" s="24" t="str">
        <x:v>n/a</x:v>
      </x:c>
      <x:c r="G4" s="24" t="str">
        <x:v>n/a</x:v>
      </x:c>
      <x:c r="H4" s="24" t="str">
        <x:v>DR0</x:v>
      </x:c>
      <x:c r="I4" s="24" t="str">
        <x:v>n/a</x:v>
      </x:c>
      <x:c r="J4" s="24" t="str">
        <x:v>n/a</x:v>
      </x:c>
      <x:c r="K4" s="24" t="str">
        <x:v>No</x:v>
      </x:c>
      <x:c r="L4" s="24" t="str">
        <x:v>DR≈0 reconciliation row.</x:v>
      </x:c>
      <x:c r="M4" s="24" t="str">
        <x:v>Not a physical curve; retained in narrative to avoid denominator confusion.</x:v>
      </x:c>
    </x:row>
    <x:row r="5" ht="30" customHeight="1">
      <x:c r="A5" s="24" t="str">
        <x:v>EMIT_FLOOD_SOLAR_INVERTER</x:v>
      </x:c>
      <x:c r="B5" s="24" t="str">
        <x:v>METRIC_FLOOD_SOLAR_INVERTER</x:v>
      </x:c>
      <x:c r="C5" s="24" t="str">
        <x:v>CR_FLOOD_SOLAR_INVERTER</x:v>
      </x:c>
      <x:c r="D5" s="24" t="str">
        <x:v>pending</x:v>
      </x:c>
      <x:c r="E5" s="24" t="str">
        <x:v>No/placeholder</x:v>
      </x:c>
      <x:c r="F5" s="24" t="str">
        <x:v>from Cap_Binding_Preflight</x:v>
      </x:c>
      <x:c r="G5" s="24" t="str">
        <x:v>pending</x:v>
      </x:c>
      <x:c r="H5" s="24" t="str">
        <x:v>Pending cap-binding preflight</x:v>
      </x:c>
      <x:c r="I5" s="24" t="str">
        <x:v>No</x:v>
      </x:c>
      <x:c r="J5" s="24" t="str">
        <x:v>Withheld</x:v>
      </x:c>
      <x:c r="K5" s="24" t="str">
        <x:v>No</x:v>
      </x:c>
      <x:c r="L5" s="24" t="str">
        <x:v>Scalar carries no quantiles; withhold tail until spread/states/distribution exists.</x:v>
      </x:c>
      <x:c r="M5" s="24" t="str">
        <x:v>Depth/elevation geometry drives f.</x:v>
      </x:c>
    </x:row>
    <x:row r="6" ht="30" customHeight="1">
      <x:c r="A6" s="24" t="str">
        <x:v>EMIT_FLOOD_SOLAR_SUBSTATION</x:v>
      </x:c>
      <x:c r="B6" s="24" t="str">
        <x:v>METRIC_FLOOD_SOLAR_SUBSTATION</x:v>
      </x:c>
      <x:c r="C6" s="24" t="str">
        <x:v>CR_FLOOD_SOLAR_SUBSTATION</x:v>
      </x:c>
      <x:c r="D6" s="24" t="str">
        <x:v>pending</x:v>
      </x:c>
      <x:c r="E6" s="24" t="str">
        <x:v>No/placeholder</x:v>
      </x:c>
      <x:c r="F6" s="24" t="str">
        <x:v>from Cap_Binding_Preflight</x:v>
      </x:c>
      <x:c r="G6" s="24" t="str">
        <x:v>pending</x:v>
      </x:c>
      <x:c r="H6" s="24" t="str">
        <x:v>Pending cap-binding preflight</x:v>
      </x:c>
      <x:c r="I6" s="24" t="str">
        <x:v>No</x:v>
      </x:c>
      <x:c r="J6" s="24" t="str">
        <x:v>Withheld</x:v>
      </x:c>
      <x:c r="K6" s="24" t="str">
        <x:v>No</x:v>
      </x:c>
      <x:c r="L6" s="24" t="str">
        <x:v>Scalar carries no quantiles; withhold tail until spread/states/distribution exists.</x:v>
      </x:c>
      <x:c r="M6" s="24" t="str">
        <x:v>Shared plant-scope asset; count once at cell level.</x:v>
      </x:c>
    </x:row>
    <x:row r="7" ht="30" customHeight="1">
      <x:c r="A7" s="24" t="str">
        <x:v>EMIT_FLOOD_SOLAR_COLLECTION</x:v>
      </x:c>
      <x:c r="B7" s="24" t="str">
        <x:v>METRIC_FLOOD_SOLAR_COLLECTION</x:v>
      </x:c>
      <x:c r="C7" s="24" t="str">
        <x:v>CR_FLOOD_SOLAR_COLLECTION</x:v>
      </x:c>
      <x:c r="D7" s="24" t="str">
        <x:v>pending</x:v>
      </x:c>
      <x:c r="E7" s="24" t="str">
        <x:v>No/placeholder</x:v>
      </x:c>
      <x:c r="F7" s="24" t="str">
        <x:v>from Cap_Binding_Preflight</x:v>
      </x:c>
      <x:c r="G7" s="24" t="str">
        <x:v>pending</x:v>
      </x:c>
      <x:c r="H7" s="24" t="str">
        <x:v>Pending cap-binding preflight</x:v>
      </x:c>
      <x:c r="I7" s="24" t="str">
        <x:v>No</x:v>
      </x:c>
      <x:c r="J7" s="24" t="str">
        <x:v>Withheld</x:v>
      </x:c>
      <x:c r="K7" s="24" t="str">
        <x:v>No</x:v>
      </x:c>
      <x:c r="L7" s="24" t="str">
        <x:v>Scalar carries no quantiles; withhold tail until spread/states/distribution exists.</x:v>
      </x:c>
      <x:c r="M7" s="24" t="str">
        <x:v>May require separation of cable, trench, and junction exposure.</x:v>
      </x:c>
    </x:row>
    <x:row r="8" ht="30" customHeight="1">
      <x:c r="A8" s="24" t="str">
        <x:v>EMIT_FLOOD_SOLAR_FOUNDATION</x:v>
      </x:c>
      <x:c r="B8" s="24" t="str">
        <x:v>METRIC_FLOOD_SOLAR_FOUNDATION</x:v>
      </x:c>
      <x:c r="C8" s="24" t="str">
        <x:v>CR_FLOOD_SOLAR_FOUNDATION_SCOUR</x:v>
      </x:c>
      <x:c r="D8" s="24" t="str">
        <x:v>pending</x:v>
      </x:c>
      <x:c r="E8" s="24" t="str">
        <x:v>No/placeholder</x:v>
      </x:c>
      <x:c r="F8" s="24" t="str">
        <x:v>from Cap_Binding_Preflight</x:v>
      </x:c>
      <x:c r="G8" s="24" t="str">
        <x:v>pending</x:v>
      </x:c>
      <x:c r="H8" s="24" t="str">
        <x:v>Pending cap-binding preflight</x:v>
      </x:c>
      <x:c r="I8" s="24" t="str">
        <x:v>No</x:v>
      </x:c>
      <x:c r="J8" s="24" t="str">
        <x:v>Withheld</x:v>
      </x:c>
      <x:c r="K8" s="24" t="str">
        <x:v>No</x:v>
      </x:c>
      <x:c r="L8" s="24" t="str">
        <x:v>Scalar carries no quantiles; withhold tail until spread/states/distribution exists.</x:v>
      </x:c>
      <x:c r="M8" s="24" t="str">
        <x:v>Velocity/scour curve split from depth/ingress curve.</x:v>
      </x:c>
    </x:row>
    <x:row r="9" ht="30" customHeight="1">
      <x:c r="A9" s="24" t="str">
        <x:v>EMIT_WIND_TORNADO_BLADE</x:v>
      </x:c>
      <x:c r="B9" s="24" t="str">
        <x:v>METRIC_WIND_TORNADO_BLADE</x:v>
      </x:c>
      <x:c r="C9" s="24" t="str">
        <x:v>CR_WIND_TORNADO_BLADE</x:v>
      </x:c>
      <x:c r="D9" s="24" t="str">
        <x:v>pending</x:v>
      </x:c>
      <x:c r="E9" s="24" t="str">
        <x:v>No/placeholder</x:v>
      </x:c>
      <x:c r="F9" s="24" t="str">
        <x:v>from Cap_Binding_Preflight</x:v>
      </x:c>
      <x:c r="G9" s="24" t="str">
        <x:v>pending</x:v>
      </x:c>
      <x:c r="H9" s="24" t="str">
        <x:v>Pending cap-binding preflight</x:v>
      </x:c>
      <x:c r="I9" s="24" t="str">
        <x:v>No</x:v>
      </x:c>
      <x:c r="J9" s="24" t="str">
        <x:v>Withheld</x:v>
      </x:c>
      <x:c r="K9" s="24" t="str">
        <x:v>No</x:v>
      </x:c>
      <x:c r="L9" s="24" t="str">
        <x:v>Scalar carries no quantiles; withhold tail until spread/states/distribution exists.</x:v>
      </x:c>
      <x:c r="M9" s="24" t="str">
        <x:v>Repeated turbine exposure; may need spatial exposure factor.</x:v>
      </x:c>
    </x:row>
    <x:row r="10" ht="30" customHeight="1">
      <x:c r="A10" s="24" t="str">
        <x:v>EMIT_WIND_TORNADO_TOWER</x:v>
      </x:c>
      <x:c r="B10" s="24" t="str">
        <x:v>METRIC_WIND_TORNADO_TOWER</x:v>
      </x:c>
      <x:c r="C10" s="24" t="str">
        <x:v>CR_WIND_TORNADO_TOWER</x:v>
      </x:c>
      <x:c r="D10" s="24" t="str">
        <x:v>pending</x:v>
      </x:c>
      <x:c r="E10" s="24" t="str">
        <x:v>No/placeholder</x:v>
      </x:c>
      <x:c r="F10" s="24" t="str">
        <x:v>from Cap_Binding_Preflight</x:v>
      </x:c>
      <x:c r="G10" s="24" t="str">
        <x:v>pending</x:v>
      </x:c>
      <x:c r="H10" s="24" t="str">
        <x:v>Pending cap-binding preflight</x:v>
      </x:c>
      <x:c r="I10" s="24" t="str">
        <x:v>No</x:v>
      </x:c>
      <x:c r="J10" s="24" t="str">
        <x:v>Withheld</x:v>
      </x:c>
      <x:c r="K10" s="24" t="str">
        <x:v>No</x:v>
      </x:c>
      <x:c r="L10" s="24" t="str">
        <x:v>Scalar carries no quantiles; withhold tail until spread/states/distribution exists.</x:v>
      </x:c>
      <x:c r="M10" s="24" t="str">
        <x:v>Coordinate with foundation overturning to avoid double-counting.</x:v>
      </x:c>
    </x:row>
    <x:row r="11" ht="30" customHeight="1">
      <x:c r="A11" s="24" t="str">
        <x:v>EMIT_WIND_TORNADO_NACELLE</x:v>
      </x:c>
      <x:c r="B11" s="24" t="str">
        <x:v>METRIC_WIND_TORNADO_NACELLE</x:v>
      </x:c>
      <x:c r="C11" s="24" t="str">
        <x:v>CR_WIND_TORNADO_NACELLE</x:v>
      </x:c>
      <x:c r="D11" s="24" t="str">
        <x:v>pending</x:v>
      </x:c>
      <x:c r="E11" s="24" t="str">
        <x:v>No/placeholder</x:v>
      </x:c>
      <x:c r="F11" s="24" t="str">
        <x:v>from Cap_Binding_Preflight</x:v>
      </x:c>
      <x:c r="G11" s="24" t="str">
        <x:v>pending</x:v>
      </x:c>
      <x:c r="H11" s="24" t="str">
        <x:v>Pending cap-binding preflight</x:v>
      </x:c>
      <x:c r="I11" s="24" t="str">
        <x:v>No</x:v>
      </x:c>
      <x:c r="J11" s="24" t="str">
        <x:v>Withheld</x:v>
      </x:c>
      <x:c r="K11" s="24" t="str">
        <x:v>No</x:v>
      </x:c>
      <x:c r="L11" s="24" t="str">
        <x:v>Scalar carries no quantiles; withhold tail until spread/states/distribution exists.</x:v>
      </x:c>
      <x:c r="M11" s="24" t="str">
        <x:v>Rollup until evidence forces split.</x:v>
      </x:c>
    </x:row>
    <x:row r="12" ht="30" customHeight="1">
      <x:c r="A12" s="24" t="str">
        <x:v>EMIT_WIND_TORNADO_FOUNDATION</x:v>
      </x:c>
      <x:c r="B12" s="24" t="str">
        <x:v>METRIC_WIND_TORNADO_FOUNDATION</x:v>
      </x:c>
      <x:c r="C12" s="24" t="str">
        <x:v>CR_WIND_TORNADO_FOUNDATION</x:v>
      </x:c>
      <x:c r="D12" s="24" t="str">
        <x:v>pending</x:v>
      </x:c>
      <x:c r="E12" s="24" t="str">
        <x:v>No/placeholder</x:v>
      </x:c>
      <x:c r="F12" s="24" t="str">
        <x:v>from Cap_Binding_Preflight</x:v>
      </x:c>
      <x:c r="G12" s="24" t="str">
        <x:v>pending</x:v>
      </x:c>
      <x:c r="H12" s="24" t="str">
        <x:v>Pending cap-binding preflight</x:v>
      </x:c>
      <x:c r="I12" s="24" t="str">
        <x:v>No</x:v>
      </x:c>
      <x:c r="J12" s="24" t="str">
        <x:v>Withheld</x:v>
      </x:c>
      <x:c r="K12" s="24" t="str">
        <x:v>No</x:v>
      </x:c>
      <x:c r="L12" s="24" t="str">
        <x:v>Scalar carries no quantiles; withhold tail until spread/states/distribution exists.</x:v>
      </x:c>
      <x:c r="M12" s="24" t="str">
        <x:v>Coupling seam; record separately only if loss not double-counted.</x:v>
      </x:c>
    </x:row>
    <x:row r="13" ht="30" customHeight="1">
      <x:c r="A13" s="24" t="str">
        <x:v>EMIT_WILDFIRE_SOLAR_MODULE</x:v>
      </x:c>
      <x:c r="B13" s="24" t="str">
        <x:v>METRIC_WILDFIRE_SOLAR_MODULE</x:v>
      </x:c>
      <x:c r="C13" s="24" t="str">
        <x:v>CR_WILDFIRE_SOLAR_MODULE</x:v>
      </x:c>
      <x:c r="D13" s="24" t="str">
        <x:v>pending</x:v>
      </x:c>
      <x:c r="E13" s="24" t="str">
        <x:v>No/placeholder</x:v>
      </x:c>
      <x:c r="F13" s="24" t="str">
        <x:v>from Cap_Binding_Preflight</x:v>
      </x:c>
      <x:c r="G13" s="24" t="str">
        <x:v>pending</x:v>
      </x:c>
      <x:c r="H13" s="24" t="str">
        <x:v>Pending cap-binding preflight</x:v>
      </x:c>
      <x:c r="I13" s="24" t="str">
        <x:v>No</x:v>
      </x:c>
      <x:c r="J13" s="24" t="str">
        <x:v>Withheld</x:v>
      </x:c>
      <x:c r="K13" s="24" t="str">
        <x:v>No</x:v>
      </x:c>
      <x:c r="L13" s="24" t="str">
        <x:v>Scalar carries no quantiles; withhold tail until spread/states/distribution exists.</x:v>
      </x:c>
      <x:c r="M13" s="24" t="str">
        <x:v>v1 univariate; residence time carried as deferred axis.</x:v>
      </x:c>
    </x:row>
    <x:row r="14" ht="30" customHeight="1">
      <x:c r="A14" s="24" t="str">
        <x:v>EMIT_WILDFIRE_SOLAR_INVERTER</x:v>
      </x:c>
      <x:c r="B14" s="24" t="str">
        <x:v>METRIC_WILDFIRE_SOLAR_INVERTER</x:v>
      </x:c>
      <x:c r="C14" s="24" t="str">
        <x:v>CR_WILDFIRE_SOLAR_INVERTER</x:v>
      </x:c>
      <x:c r="D14" s="24" t="str">
        <x:v>pending</x:v>
      </x:c>
      <x:c r="E14" s="24" t="str">
        <x:v>No/placeholder</x:v>
      </x:c>
      <x:c r="F14" s="24" t="str">
        <x:v>from Cap_Binding_Preflight</x:v>
      </x:c>
      <x:c r="G14" s="24" t="str">
        <x:v>pending</x:v>
      </x:c>
      <x:c r="H14" s="24" t="str">
        <x:v>Pending cap-binding preflight</x:v>
      </x:c>
      <x:c r="I14" s="24" t="str">
        <x:v>No</x:v>
      </x:c>
      <x:c r="J14" s="24" t="str">
        <x:v>Withheld</x:v>
      </x:c>
      <x:c r="K14" s="24" t="str">
        <x:v>No</x:v>
      </x:c>
      <x:c r="L14" s="24" t="str">
        <x:v>Scalar carries no quantiles; withhold tail until spread/states/distribution exists.</x:v>
      </x:c>
      <x:c r="M14" s="24" t="str">
        <x:v>Thermal damage not identical to module damage.</x:v>
      </x:c>
    </x:row>
    <x:row r="15" ht="30" customHeight="1">
      <x:c r="A15" s="24" t="str">
        <x:v>EMIT_WILDFIRE_SOLAR_COLLECTION</x:v>
      </x:c>
      <x:c r="B15" s="24" t="str">
        <x:v>METRIC_WILDFIRE_SOLAR_COLLECTION</x:v>
      </x:c>
      <x:c r="C15" s="24" t="str">
        <x:v>CR_WILDFIRE_SOLAR_COLLECTION</x:v>
      </x:c>
      <x:c r="D15" s="24" t="str">
        <x:v>pending</x:v>
      </x:c>
      <x:c r="E15" s="24" t="str">
        <x:v>No/placeholder</x:v>
      </x:c>
      <x:c r="F15" s="24" t="str">
        <x:v>from Cap_Binding_Preflight</x:v>
      </x:c>
      <x:c r="G15" s="24" t="str">
        <x:v>pending</x:v>
      </x:c>
      <x:c r="H15" s="24" t="str">
        <x:v>Pending cap-binding preflight</x:v>
      </x:c>
      <x:c r="I15" s="24" t="str">
        <x:v>No</x:v>
      </x:c>
      <x:c r="J15" s="24" t="str">
        <x:v>Withheld</x:v>
      </x:c>
      <x:c r="K15" s="24" t="str">
        <x:v>No</x:v>
      </x:c>
      <x:c r="L15" s="24" t="str">
        <x:v>Scalar carries no quantiles; withhold tail until spread/states/distribution exists.</x:v>
      </x:c>
      <x:c r="M15" s="24" t="str">
        <x:v>Subset of electrical collection likely exposed; f needs sourcing.</x:v>
      </x:c>
    </x:row>
  </x:sheetData>
  <x:pageMargins left="0.7" right="0.7" top="0.75" bottom="0.75" header="0.3" footer="0.3"/>
  <x:tableParts count="1">
    <x:tablePart xmlns:r="http://schemas.openxmlformats.org/officeDocument/2006/relationships" r:id="R65362f137a17462d"/>
  </x:tableParts>
</x:worksheet>
</file>

<file path=xl/worksheets/sheet14.xml><?xml version="1.0" encoding="utf-8"?>
<x:worksheet xmlns:x="http://schemas.openxmlformats.org/spreadsheetml/2006/main">
  <x:sheetFormatPr defaultRowHeight="15"/>
  <x:cols>
    <x:col min="1" max="1" width="24" hidden="0" customWidth="1"/>
    <x:col min="2" max="2" width="60" hidden="0" customWidth="1"/>
    <x:col min="3" max="3" width="60" hidden="0" customWidth="1"/>
    <x:col min="4" max="4" width="48" hidden="0" customWidth="1"/>
    <x:col min="5" max="5" width="52" hidden="0" customWidth="1"/>
    <x:col min="6" max="6" width="52" hidden="0" customWidth="1"/>
    <x:col min="7" max="7" width="52" hidden="0" customWidth="1"/>
    <x:col min="8" max="8" width="50" hidden="0" customWidth="1"/>
    <x:col min="9" max="9" width="40" hidden="0" customWidth="1"/>
    <x:col min="10" max="10" width="50" hidden="0" customWidth="1"/>
  </x:cols>
  <x:sheetData>
    <x:row r="1" ht="30" customHeight="1">
      <x:c r="A1" s="40" t="str">
        <x:v>cell_id</x:v>
      </x:c>
      <x:c r="B1" s="40" t="str">
        <x:v>assembly_rule</x:v>
      </x:c>
      <x:c r="C1" s="40" t="str">
        <x:v>included_failure_units</x:v>
      </x:c>
      <x:c r="D1" s="40" t="str">
        <x:v>value_reconciliation_scope</x:v>
      </x:c>
      <x:c r="E1" s="40" t="str">
        <x:v>spatial_factor_policy</x:v>
      </x:c>
      <x:c r="F1" s="40" t="str">
        <x:v>combination_policy</x:v>
      </x:c>
      <x:c r="G1" s="40" t="str">
        <x:v>double_count_guard</x:v>
      </x:c>
      <x:c r="H1" s="40" t="str">
        <x:v>default_loss_formula</x:v>
      </x:c>
      <x:c r="I1" s="40" t="str">
        <x:v>metric_policy</x:v>
      </x:c>
      <x:c r="J1" s="40" t="str">
        <x:v>notes</x:v>
      </x:c>
      <x:c r="K1" s="37"/>
      <x:c r="L1" s="37"/>
      <x:c r="M1" s="37"/>
      <x:c r="N1" s="37"/>
      <x:c r="O1" s="37"/>
      <x:c r="P1" s="37"/>
      <x:c r="Q1" s="37"/>
      <x:c r="R1" s="37"/>
      <x:c r="S1" s="37"/>
      <x:c r="T1" s="37"/>
      <x:c r="U1" s="37"/>
      <x:c r="V1" s="37"/>
      <x:c r="W1" s="37"/>
      <x:c r="X1" s="37"/>
      <x:c r="Y1" s="37"/>
      <x:c r="Z1" s="37"/>
    </x:row>
    <x:row r="2" ht="30" customHeight="1">
      <x:c r="A2" s="24" t="str">
        <x:v>HAIL_SOLAR</x:v>
      </x:c>
      <x:c r="B2" s="24" t="str">
        <x:v>Sum failure-unit records; keep DR≈0/nonphysical reconciliation outside physical base.</x:v>
      </x:c>
      <x:c r="C2" s="24" t="str">
        <x:v>PV_MODULE_GLASS_CELL; TRACKER_RACKING_STOW_DAMAGE; SUNK_SOFT_DR0</x:v>
      </x:c>
      <x:c r="D2" s="24" t="str">
        <x:v>Solar physical replaceable base plus explicit excluded sunk/soft narrative.</x:v>
      </x:c>
      <x:c r="E2" s="24" t="str">
        <x:v>Cell footprint/spatial exposure to be added outside curve or as exposure_fraction.</x:v>
      </x:c>
      <x:c r="F2" s="24" t="str">
        <x:v>Additive unless two curves claim same value bucket; then split or priority rule required.</x:v>
      </x:c>
      <x:c r="G2" s="24" t="str">
        <x:v>PV_ARRAY exposed module value and MOUNTING value must not overlap.</x:v>
      </x:c>
      <x:c r="H2" s="24" t="str">
        <x:v>loss = Σ DR_u(x_u) × cap_L_u</x:v>
      </x:c>
      <x:c r="I2" s="24" t="str">
        <x:v>EAL pending cap check; tail withheld under scalar.</x:v>
      </x:c>
      <x:c r="J2" s="24" t="str">
        <x:v>First proving cell.</x:v>
      </x:c>
    </x:row>
    <x:row r="3" ht="30" customHeight="1">
      <x:c r="A3" s="24" t="str">
        <x:v>FLOOD_SOLAR</x:v>
      </x:c>
      <x:c r="B3" s="24" t="str">
        <x:v>Sum depth-driven electrical rows and velocity-driven foundation row separately.</x:v>
      </x:c>
      <x:c r="C3" s="24" t="str">
        <x:v>INVERTER_INGRESS; SUBSTATION_INGRESS; COLLECTION_CABLE_TRENCH; FOUNDATION_SCOUR</x:v>
      </x:c>
      <x:c r="D3" s="24" t="str">
        <x:v>Solar physical base; geometry f by equipment elevation.</x:v>
      </x:c>
      <x:c r="E3" s="24" t="str">
        <x:v>Flood footprint and depth grid should drive exposed_fraction.</x:v>
      </x:c>
      <x:c r="F3" s="24" t="str">
        <x:v>Split depth and velocity by failure mechanism rather than 2-D unless needed.</x:v>
      </x:c>
      <x:c r="G3" s="24" t="str">
        <x:v>Substation counted once as plant-scope shared asset.</x:v>
      </x:c>
      <x:c r="H3" s="24" t="str">
        <x:v>loss = Σ DR_depth × cap_L + Σ DR_velocity × cap_L</x:v>
      </x:c>
      <x:c r="I3" s="24" t="str">
        <x:v>EAL pending cap check; tail withheld under scalar.</x:v>
      </x:c>
      <x:c r="J3" s="24" t="str">
        <x:v>Geometry cell.</x:v>
      </x:c>
    </x:row>
    <x:row r="4" ht="30" customHeight="1">
      <x:c r="A4" s="24" t="str">
        <x:v>WIND_TORNADO_WIND</x:v>
      </x:c>
      <x:c r="B4" s="24" t="str">
        <x:v>Sum turbine failure-unit rows with turbine/spatial exposure factor.</x:v>
      </x:c>
      <x:c r="C4" s="24" t="str">
        <x:v>BLADE_STRUCTURAL; TOWER_STRUCTURAL; NACELLE_STRUCTURAL; FOUNDATION_OVERTURNING</x:v>
      </x:c>
      <x:c r="D4" s="24" t="str">
        <x:v>Wind physical base with repeated turbine exposure and plant-shared rows.</x:v>
      </x:c>
      <x:c r="E4" s="24" t="str">
        <x:v>Turbine count or affected fraction needed; placeholder in v0.1.</x:v>
      </x:c>
      <x:c r="F4" s="24" t="str">
        <x:v>Tower/foundation coupling may require priority or joint record if loss ≠ sum.</x:v>
      </x:c>
      <x:c r="G4" s="24" t="str">
        <x:v>Do not count tower collapse and foundation replacement twice.</x:v>
      </x:c>
      <x:c r="H4" s="24" t="str">
        <x:v>loss = Σ_turbines Σ_u DR_u(x) × cap_L_u × exposure_t</x:v>
      </x:c>
      <x:c r="I4" s="24" t="str">
        <x:v>EAL pending cap check; tail withheld under scalar.</x:v>
      </x:c>
      <x:c r="J4" s="24" t="str">
        <x:v>Structural/repeated-unit cell.</x:v>
      </x:c>
    </x:row>
    <x:row r="5" ht="30" customHeight="1">
      <x:c r="A5" s="24" t="str">
        <x:v>WILDFIRE_SOLAR</x:v>
      </x:c>
      <x:c r="B5" s="24" t="str">
        <x:v>Sum thermal exposure rows; carry residence time as deferred seam.</x:v>
      </x:c>
      <x:c r="C5" s="24" t="str">
        <x:v>PV_MODULE_THERMAL; INVERTER_CABINET_THERMAL; CABLE_CONNECTOR_THERMAL</x:v>
      </x:c>
      <x:c r="D5" s="24" t="str">
        <x:v>Solar physical base; thermal exposed f placeholders.</x:v>
      </x:c>
      <x:c r="E5" s="24" t="str">
        <x:v>Fire footprint/intensity grid plus vegetation/clearance states.</x:v>
      </x:c>
      <x:c r="F5" s="24" t="str">
        <x:v>v1 univariate fireline intensity; residence time deferred unless evidence forces 2-D.</x:v>
      </x:c>
      <x:c r="G5" s="24" t="str">
        <x:v>Collection cable exposed share must not overlap with generic electrical collection.</x:v>
      </x:c>
      <x:c r="H5" s="24" t="str">
        <x:v>loss = Σ DR_FLI × cap_L_u</x:v>
      </x:c>
      <x:c r="I5" s="24" t="str">
        <x:v>EAL pending cap check; tail withheld under scalar.</x:v>
      </x:c>
      <x:c r="J5" s="24" t="str">
        <x:v>Deferred-complexity cell.</x:v>
      </x:c>
    </x:row>
  </x:sheetData>
  <x:pageMargins left="0.7" right="0.7" top="0.75" bottom="0.75" header="0.3" footer="0.3"/>
  <x:tableParts count="1">
    <x:tablePart xmlns:r="http://schemas.openxmlformats.org/officeDocument/2006/relationships" r:id="Rd4a87b036da54d4a"/>
  </x:tableParts>
</x:worksheet>
</file>

<file path=xl/worksheets/sheet15.xml><?xml version="1.0" encoding="utf-8"?>
<x:worksheet xmlns:x="http://schemas.openxmlformats.org/spreadsheetml/2006/main">
  <x:sheetFormatPr defaultRowHeight="15"/>
  <x:cols>
    <x:col min="1" max="1" width="20" hidden="0" customWidth="1"/>
    <x:col min="2" max="2" width="18" hidden="0" customWidth="1"/>
    <x:col min="3" max="3" width="60" hidden="0" customWidth="1"/>
    <x:col min="4" max="4" width="40" hidden="0" customWidth="1"/>
    <x:col min="5" max="5" width="14" hidden="0" customWidth="1"/>
    <x:col min="6" max="6" width="14" hidden="0" customWidth="1"/>
    <x:col min="7" max="7" width="42" hidden="0" customWidth="1"/>
    <x:col min="8" max="8" width="60" hidden="0" customWidth="1"/>
  </x:cols>
  <x:sheetData>
    <x:row r="1" ht="30" customHeight="1">
      <x:c r="A1" s="40" t="str">
        <x:v>check_id</x:v>
      </x:c>
      <x:c r="B1" s="40" t="str">
        <x:v>category</x:v>
      </x:c>
      <x:c r="C1" s="40" t="str">
        <x:v>rule</x:v>
      </x:c>
      <x:c r="D1" s="40" t="str">
        <x:v>workbook_location</x:v>
      </x:c>
      <x:c r="E1" s="40" t="str">
        <x:v>severity</x:v>
      </x:c>
      <x:c r="F1" s="40" t="str">
        <x:v>status</x:v>
      </x:c>
      <x:c r="G1" s="40" t="str">
        <x:v>reviewer_action</x:v>
      </x:c>
      <x:c r="H1" s="40" t="str">
        <x:v>notes</x:v>
      </x:c>
      <x:c r="I1" s="37"/>
      <x:c r="J1" s="37"/>
      <x:c r="K1" s="37"/>
      <x:c r="L1" s="37"/>
      <x:c r="M1" s="37"/>
      <x:c r="N1" s="37"/>
      <x:c r="O1" s="37"/>
      <x:c r="P1" s="37"/>
      <x:c r="Q1" s="37"/>
      <x:c r="R1" s="37"/>
      <x:c r="S1" s="37"/>
      <x:c r="T1" s="37"/>
      <x:c r="U1" s="37"/>
      <x:c r="V1" s="37"/>
      <x:c r="W1" s="37"/>
      <x:c r="X1" s="37"/>
      <x:c r="Y1" s="37"/>
      <x:c r="Z1" s="37"/>
    </x:row>
    <x:row r="2" ht="30" customHeight="1">
      <x:c r="A2" s="24" t="str">
        <x:v>QA_SCHEMA_001</x:v>
      </x:c>
      <x:c r="B2" s="24" t="str">
        <x:v>schema</x:v>
      </x:c>
      <x:c r="C2" s="24" t="str">
        <x:v>Every required field populated or explicitly marked placeholder.</x:v>
      </x:c>
      <x:c r="D2" s="24" t="str">
        <x:v>Record_Schema; Curve_Records</x:v>
      </x:c>
      <x:c r="E2" s="24" t="str">
        <x:v>High</x:v>
      </x:c>
      <x:c r="F2" s="24" t="str">
        <x:v>Active</x:v>
      </x:c>
      <x:c r="G2" s="24" t="str">
        <x:v>Review before sourcing pass.</x:v>
      </x:c>
      <x:c r="H2" s="24" t="str">
        <x:v>No blank required fields in approved rows.</x:v>
      </x:c>
    </x:row>
    <x:row r="3" ht="30" customHeight="1">
      <x:c r="A3" s="24" t="str">
        <x:v>QA_GOV_001</x:v>
      </x:c>
      <x:c r="B3" s="24" t="str">
        <x:v>governance</x:v>
      </x:c>
      <x:c r="C3" s="24" t="str">
        <x:v>Every field in Record_Schema has governed_by_doc and governing_rule.</x:v>
      </x:c>
      <x:c r="D3" s="24" t="str">
        <x:v>Record_Schema</x:v>
      </x:c>
      <x:c r="E3" s="24" t="str">
        <x:v>High</x:v>
      </x:c>
      <x:c r="F3" s="24" t="str">
        <x:v>Active</x:v>
      </x:c>
      <x:c r="G3" s="24" t="str">
        <x:v>Check no ungoverned fields.</x:v>
      </x:c>
      <x:c r="H3" s="24" t="str">
        <x:v>This implements 00 assembled record discipline.</x:v>
      </x:c>
    </x:row>
    <x:row r="4" ht="30" customHeight="1">
      <x:c r="A4" s="24" t="str">
        <x:v>QA_VALUE_001</x:v>
      </x:c>
      <x:c r="B4" s="24" t="str">
        <x:v>value</x:v>
      </x:c>
      <x:c r="C4" s="24" t="str">
        <x:v>Every curve record maps to a Value_Link row with nonblank basis.</x:v>
      </x:c>
      <x:c r="D4" s="24" t="str">
        <x:v>Curve_Records; Value_Link</x:v>
      </x:c>
      <x:c r="E4" s="24" t="str">
        <x:v>High</x:v>
      </x:c>
      <x:c r="F4" s="24" t="str">
        <x:v>Active</x:v>
      </x:c>
      <x:c r="G4" s="24" t="str">
        <x:v>Check value_link_id exists and basis is explicit.</x:v>
      </x:c>
      <x:c r="H4" s="24" t="str">
        <x:v>Basis-first rule.</x:v>
      </x:c>
    </x:row>
    <x:row r="5" ht="30" customHeight="1">
      <x:c r="A5" s="24" t="str">
        <x:v>QA_VALUE_002</x:v>
      </x:c>
      <x:c r="B5" s="24" t="str">
        <x:v>value</x:v>
      </x:c>
      <x:c r="C5" s="24" t="str">
        <x:v>At-risk f must have f_kind and source/status.</x:v>
      </x:c>
      <x:c r="D5" s="24" t="str">
        <x:v>Value_Link</x:v>
      </x:c>
      <x:c r="E5" s="24" t="str">
        <x:v>High</x:v>
      </x:c>
      <x:c r="F5" s="24" t="str">
        <x:v>Active</x:v>
      </x:c>
      <x:c r="G5" s="24" t="str">
        <x:v>Check f_kind not blank when at_risk_f != 1.</x:v>
      </x:c>
      <x:c r="H5" s="24" t="str">
        <x:v>Hail material-share vs flood site-geometry.</x:v>
      </x:c>
    </x:row>
    <x:row r="6" ht="30" customHeight="1">
      <x:c r="A6" s="24" t="str">
        <x:v>QA_VALUE_003</x:v>
      </x:c>
      <x:c r="B6" s="24" t="str">
        <x:v>value</x:v>
      </x:c>
      <x:c r="C6" s="24" t="str">
        <x:v>No double-counting of the same value bucket within a cell.</x:v>
      </x:c>
      <x:c r="D6" s="24" t="str">
        <x:v>Value_Link; Cell_Assembly</x:v>
      </x:c>
      <x:c r="E6" s="24" t="str">
        <x:v>High</x:v>
      </x:c>
      <x:c r="F6" s="24" t="str">
        <x:v>Active</x:v>
      </x:c>
      <x:c r="G6" s="24" t="str">
        <x:v>Review overlapping buckets and open seams.</x:v>
      </x:c>
      <x:c r="H6" s="24" t="str">
        <x:v>Especially tower/foundation and collection cable rows.</x:v>
      </x:c>
    </x:row>
    <x:row r="7" ht="30" customHeight="1">
      <x:c r="A7" s="24" t="str">
        <x:v>QA_AXIS_001</x:v>
      </x:c>
      <x:c r="B7" s="24" t="str">
        <x:v>x-axis</x:v>
      </x:c>
      <x:c r="C7" s="24" t="str">
        <x:v>Every record has an x_axis_id present in X_Axis_Map.</x:v>
      </x:c>
      <x:c r="D7" s="24" t="str">
        <x:v>Curve_Records; X_Axis_Map</x:v>
      </x:c>
      <x:c r="E7" s="24" t="str">
        <x:v>High</x:v>
      </x:c>
      <x:c r="F7" s="24" t="str">
        <x:v>Active</x:v>
      </x:c>
      <x:c r="G7" s="24" t="str">
        <x:v>Check lookup validity.</x:v>
      </x:c>
      <x:c r="H7" s="24" t="str">
        <x:v>No unlabeled intensity variable.</x:v>
      </x:c>
    </x:row>
    <x:row r="8" ht="30" customHeight="1">
      <x:c r="A8" s="24" t="str">
        <x:v>QA_AXIS_002</x:v>
      </x:c>
      <x:c r="B8" s="24" t="str">
        <x:v>x-axis</x:v>
      </x:c>
      <x:c r="C8" s="24" t="str">
        <x:v>Conditioners and selectors separated; event state not silently treated as fixed attribute.</x:v>
      </x:c>
      <x:c r="D8" s="24" t="str">
        <x:v>Curve_Records; Conditioners_Selectors</x:v>
      </x:c>
      <x:c r="E8" s="24" t="str">
        <x:v>Medium</x:v>
      </x:c>
      <x:c r="F8" s="24" t="str">
        <x:v>Active</x:v>
      </x:c>
      <x:c r="G8" s="24" t="str">
        <x:v>Review hail stow and wind operating states.</x:v>
      </x:c>
      <x:c r="H8" s="24" t="str">
        <x:v>Avoid accidental multidimensionality.</x:v>
      </x:c>
    </x:row>
    <x:row r="9" ht="30" customHeight="1">
      <x:c r="A9" s="24" t="str">
        <x:v>QA_CURVE_001</x:v>
      </x:c>
      <x:c r="B9" s="24" t="str">
        <x:v>curve</x:v>
      </x:c>
      <x:c r="C9" s="24" t="str">
        <x:v>Curve form must match evidence strength; standards are anchors not full curves.</x:v>
      </x:c>
      <x:c r="D9" s="24" t="str">
        <x:v>Curve_Params; Evidence_Log</x:v>
      </x:c>
      <x:c r="E9" s="24" t="str">
        <x:v>High</x:v>
      </x:c>
      <x:c r="F9" s="24" t="str">
        <x:v>Pending</x:v>
      </x:c>
      <x:c r="G9" s="24" t="str">
        <x:v>Apply during sourcing.</x:v>
      </x:c>
      <x:c r="H9" s="24" t="str">
        <x:v>No reflexive lognormal.</x:v>
      </x:c>
    </x:row>
    <x:row r="10" ht="30" customHeight="1">
      <x:c r="A10" s="24" t="str">
        <x:v>QA_CAP_001</x:v>
      </x:c>
      <x:c r="B10" s="24" t="str">
        <x:v>cap-binding</x:v>
      </x:c>
      <x:c r="C10" s="24" t="str">
        <x:v>Cap_Binding_Preflight completed before EAL shipped.</x:v>
      </x:c>
      <x:c r="D10" s="24" t="str">
        <x:v>Cap_Binding_Preflight; Emit_Metrics</x:v>
      </x:c>
      <x:c r="E10" s="24" t="str">
        <x:v>High</x:v>
      </x:c>
      <x:c r="F10" s="24" t="str">
        <x:v>Active</x:v>
      </x:c>
      <x:c r="G10" s="24" t="str">
        <x:v>Review scalar_bias_risk and EAL_status.</x:v>
      </x:c>
      <x:c r="H10" s="24" t="str">
        <x:v>First gate before golden cell.</x:v>
      </x:c>
    </x:row>
    <x:row r="11" ht="30" customHeight="1">
      <x:c r="A11" s="24" t="str">
        <x:v>QA_METRIC_001</x:v>
      </x:c>
      <x:c r="B11" s="24" t="str">
        <x:v>metrics</x:v>
      </x:c>
      <x:c r="C11" s="24" t="str">
        <x:v>Tail metrics withheld unless spread/states/distribution exists.</x:v>
      </x:c>
      <x:c r="D11" s="24" t="str">
        <x:v>Emit_Metrics</x:v>
      </x:c>
      <x:c r="E11" s="24" t="str">
        <x:v>High</x:v>
      </x:c>
      <x:c r="F11" s="24" t="str">
        <x:v>Active</x:v>
      </x:c>
      <x:c r="G11" s="24" t="str">
        <x:v>Check tail_allowed.</x:v>
      </x:c>
      <x:c r="H11" s="24" t="str">
        <x:v>Do not caveat tail under scalar.</x:v>
      </x:c>
    </x:row>
    <x:row r="12" ht="30" customHeight="1">
      <x:c r="A12" s="24" t="str">
        <x:v>QA_RECON_001</x:v>
      </x:c>
      <x:c r="B12" s="24" t="str">
        <x:v>reconciliation</x:v>
      </x:c>
      <x:c r="C12" s="24" t="str">
        <x:v>Damaged + immune + nonphysical rows explain stated basis for cell narrative.</x:v>
      </x:c>
      <x:c r="D12" s="24" t="str">
        <x:v>Value_Link; Cell_Assembly</x:v>
      </x:c>
      <x:c r="E12" s="24" t="str">
        <x:v>Medium</x:v>
      </x:c>
      <x:c r="F12" s="24" t="str">
        <x:v>Active</x:v>
      </x:c>
      <x:c r="G12" s="24" t="str">
        <x:v>Review cell assembly notes.</x:v>
      </x:c>
      <x:c r="H12" s="24" t="str">
        <x:v>Keeps denominator honest.</x:v>
      </x:c>
    </x:row>
    <x:row r="13" ht="30" customHeight="1">
      <x:c r="A13" s="24" t="str">
        <x:v>QA_SOURCE_001</x:v>
      </x:c>
      <x:c r="B13" s="24" t="str">
        <x:v>evidence</x:v>
      </x:c>
      <x:c r="C13" s="24" t="str">
        <x:v>Each parameter/evidence input has evidence_class and source.</x:v>
      </x:c>
      <x:c r="D13" s="24" t="str">
        <x:v>Evidence_Log; Curve_Params</x:v>
      </x:c>
      <x:c r="E13" s="24" t="str">
        <x:v>High</x:v>
      </x:c>
      <x:c r="F13" s="24" t="str">
        <x:v>Pending</x:v>
      </x:c>
      <x:c r="G13" s="24" t="str">
        <x:v>Apply during sourcing.</x:v>
      </x:c>
      <x:c r="H13" s="24" t="str">
        <x:v>No unlabeled assumptions.</x:v>
      </x:c>
    </x:row>
  </x:sheetData>
  <x:pageMargins left="0.7" right="0.7" top="0.75" bottom="0.75" header="0.3" footer="0.3"/>
  <x:tableParts count="1">
    <x:tablePart xmlns:r="http://schemas.openxmlformats.org/officeDocument/2006/relationships" r:id="R7653883fd60a4a4e"/>
  </x:tableParts>
</x:worksheet>
</file>

<file path=xl/worksheets/sheet16.xml><?xml version="1.0" encoding="utf-8"?>
<x:worksheet xmlns:x="http://schemas.openxmlformats.org/spreadsheetml/2006/main">
  <x:sheetFormatPr defaultRowHeight="15"/>
  <x:cols>
    <x:col min="1" max="1" width="30" hidden="0" customWidth="1"/>
    <x:col min="2" max="2" width="18" hidden="0" customWidth="1"/>
    <x:col min="3" max="3" width="34" hidden="0" customWidth="1"/>
    <x:col min="4" max="4" width="14" hidden="0" customWidth="1"/>
    <x:col min="5" max="5" width="14" hidden="0" customWidth="1"/>
    <x:col min="6" max="6" width="14" hidden="0" customWidth="1"/>
    <x:col min="7" max="7" width="50" hidden="0" customWidth="1"/>
    <x:col min="8" max="8" width="50" hidden="0" customWidth="1"/>
    <x:col min="9" max="9" width="18" hidden="0" customWidth="1"/>
    <x:col min="10" max="10" width="14" hidden="0" customWidth="1"/>
    <x:col min="11" max="11" width="42" hidden="0" customWidth="1"/>
  </x:cols>
  <x:sheetData>
    <x:row r="1" ht="30" customHeight="1">
      <x:c r="A1" s="46" t="str">
        <x:v>open_seam_id</x:v>
      </x:c>
      <x:c r="B1" s="46" t="str">
        <x:v>cell_id</x:v>
      </x:c>
      <x:c r="C1" s="46" t="str">
        <x:v>seam_name</x:v>
      </x:c>
      <x:c r="D1" s="46" t="str">
        <x:v>severity</x:v>
      </x:c>
      <x:c r="E1" s="46" t="str">
        <x:v>blocks_EAL</x:v>
      </x:c>
      <x:c r="F1" s="46" t="str">
        <x:v>blocks_tail</x:v>
      </x:c>
      <x:c r="G1" s="46" t="str">
        <x:v>description</x:v>
      </x:c>
      <x:c r="H1" s="46" t="str">
        <x:v>proposed_resolution</x:v>
      </x:c>
      <x:c r="I1" s="46" t="str">
        <x:v>owner_placeholder</x:v>
      </x:c>
      <x:c r="J1" s="46" t="str">
        <x:v>status</x:v>
      </x:c>
      <x:c r="K1" s="46" t="str">
        <x:v>notes</x:v>
      </x:c>
      <x:c r="L1" s="37"/>
      <x:c r="M1" s="37"/>
      <x:c r="N1" s="37"/>
      <x:c r="O1" s="37"/>
      <x:c r="P1" s="37"/>
      <x:c r="Q1" s="37"/>
      <x:c r="R1" s="37"/>
      <x:c r="S1" s="37"/>
      <x:c r="T1" s="37"/>
      <x:c r="U1" s="37"/>
      <x:c r="V1" s="37"/>
      <x:c r="W1" s="37"/>
      <x:c r="X1" s="37"/>
      <x:c r="Y1" s="37"/>
      <x:c r="Z1" s="37"/>
    </x:row>
    <x:row r="2" ht="30" customHeight="1">
      <x:c r="A2" s="24" t="str">
        <x:v>SEAM_MODULE_BOM_F</x:v>
      </x:c>
      <x:c r="B2" s="24" t="str">
        <x:v>HAIL_SOLAR</x:v>
      </x:c>
      <x:c r="C2" s="24" t="str">
        <x:v>Module BOM / glass-cell at-risk f</x:v>
      </x:c>
      <x:c r="D2" s="24" t="str">
        <x:v>High</x:v>
      </x:c>
      <x:c r="E2" s="24" t="str">
        <x:v>Maybe</x:v>
      </x:c>
      <x:c r="F2" s="24" t="str">
        <x:v>Yes</x:v>
      </x:c>
      <x:c r="G2" s="24" t="str">
        <x:v>Hail cap depends on what share of PV_ARRAY value is actually exposed module glass/cell value.</x:v>
      </x:c>
      <x:c r="H2" s="24" t="str">
        <x:v>Dedicated module BOM sourcing pass; placeholder until sourced.</x:v>
      </x:c>
      <x:c r="I2" s="24" t="str">
        <x:v>TBD</x:v>
      </x:c>
      <x:c r="J2" s="24" t="str">
        <x:v>Open</x:v>
      </x:c>
      <x:c r="K2" s="24" t="str">
        <x:v>Load-bearing for cap-binding.</x:v>
      </x:c>
    </x:row>
    <x:row r="3" ht="30" customHeight="1">
      <x:c r="A3" s="24" t="str">
        <x:v>SEAM_HAIL_AXIS_BRIDGE</x:v>
      </x:c>
      <x:c r="B3" s="24" t="str">
        <x:v>HAIL_SOLAR</x:v>
      </x:c>
      <x:c r="C3" s="24" t="str">
        <x:v>Hail diameter-to-impact-energy bridge</x:v>
      </x:c>
      <x:c r="D3" s="24" t="str">
        <x:v>High</x:v>
      </x:c>
      <x:c r="E3" s="24" t="str">
        <x:v>Maybe</x:v>
      </x:c>
      <x:c r="F3" s="24" t="str">
        <x:v>Yes</x:v>
      </x:c>
      <x:c r="G3" s="24" t="str">
        <x:v>Operational data are diameter/MESH, but module physics and lab anchors may be impact-energy-native; bridge assumptions can affect curve position.</x:v>
      </x:c>
      <x:c r="H3" s="24" t="str">
        <x:v>Create versioned bridge assumptions from diameter to mass/velocity/KE; keep provider axis diameter-native.</x:v>
      </x:c>
      <x:c r="I3" s="24" t="str">
        <x:v>TBD</x:v>
      </x:c>
      <x:c r="J3" s="24" t="str">
        <x:v>Open</x:v>
      </x:c>
      <x:c r="K3" s="24" t="str">
        <x:v>Do not use J/m² unless impact count/concentration is sourced.</x:v>
      </x:c>
    </x:row>
    <x:row r="4" ht="30" customHeight="1">
      <x:c r="A4" s="24" t="str">
        <x:v>SEAM_STOW_HAZARD_CORRELATION</x:v>
      </x:c>
      <x:c r="B4" s="24" t="str">
        <x:v>HAIL_SOLAR</x:v>
      </x:c>
      <x:c r="C4" s="24" t="str">
        <x:v>Tracker stow is hazard-correlated conditioner</x:v>
      </x:c>
      <x:c r="D4" s="24" t="str">
        <x:v>High</x:v>
      </x:c>
      <x:c r="E4" s="24" t="str">
        <x:v>Maybe</x:v>
      </x:c>
      <x:c r="F4" s="24" t="str">
        <x:v>Yes</x:v>
      </x:c>
      <x:c r="G4" s="24" t="str">
        <x:v>Actual stow angle depends on forecast, lead time, controls, and operator execution.</x:v>
      </x:c>
      <x:c r="H4" s="24" t="str">
        <x:v>Represent as conditioner in v1; future stochastic P(stowed | forecast) if needed.</x:v>
      </x:c>
      <x:c r="I4" s="24" t="str">
        <x:v>TBD</x:v>
      </x:c>
      <x:c r="J4" s="24" t="str">
        <x:v>Open</x:v>
      </x:c>
      <x:c r="K4" s="24" t="str">
        <x:v>Do not treat stow as fixed selector.</x:v>
      </x:c>
    </x:row>
    <x:row r="5" ht="30" customHeight="1">
      <x:c r="A5" s="24" t="str">
        <x:v>SEAM_TRACKER_HAIL_RELEVANCE</x:v>
      </x:c>
      <x:c r="B5" s="24" t="str">
        <x:v>HAIL_SOLAR</x:v>
      </x:c>
      <x:c r="C5" s="24" t="str">
        <x:v>Does hail materially damage trackers/racking?</x:v>
      </x:c>
      <x:c r="D5" s="24" t="str">
        <x:v>Medium</x:v>
      </x:c>
      <x:c r="E5" s="24" t="str">
        <x:v>No</x:v>
      </x:c>
      <x:c r="F5" s="24" t="str">
        <x:v>Yes</x:v>
      </x:c>
      <x:c r="G5" s="24" t="str">
        <x:v>Tracker/racking may be more a conditioner than a damaged failure-unit.</x:v>
      </x:c>
      <x:c r="H5" s="24" t="str">
        <x:v>Source damage cases or set DR≈0 with notes.</x:v>
      </x:c>
      <x:c r="I5" s="24" t="str">
        <x:v>TBD</x:v>
      </x:c>
      <x:c r="J5" s="24" t="str">
        <x:v>Open</x:v>
      </x:c>
      <x:c r="K5" s="24" t="str">
        <x:v>Potential row collapse.</x:v>
      </x:c>
    </x:row>
    <x:row r="6" ht="30" customHeight="1">
      <x:c r="A6" s="24" t="str">
        <x:v>SEAM_MODULE_SPECS</x:v>
      </x:c>
      <x:c r="B6" s="24" t="str">
        <x:v>HAIL_SOLAR</x:v>
      </x:c>
      <x:c r="C6" s="24" t="str">
        <x:v>Glass thickness and module construction unknown</x:v>
      </x:c>
      <x:c r="D6" s="24" t="str">
        <x:v>Medium</x:v>
      </x:c>
      <x:c r="E6" s="24" t="str">
        <x:v>Maybe</x:v>
      </x:c>
      <x:c r="F6" s="24" t="str">
        <x:v>Yes</x:v>
      </x:c>
      <x:c r="G6" s="24" t="str">
        <x:v>Substrate has hazard-linked module specs but public data not fully populated.</x:v>
      </x:c>
      <x:c r="H6" s="24" t="str">
        <x:v>Use manufacturer/site data when available; generic placeholder otherwise.</x:v>
      </x:c>
      <x:c r="I6" s="24" t="str">
        <x:v>TBD</x:v>
      </x:c>
      <x:c r="J6" s="24" t="str">
        <x:v>Open</x:v>
      </x:c>
      <x:c r="K6" s="24" t="str">
        <x:v>Selector uncertainty.</x:v>
      </x:c>
    </x:row>
    <x:row r="7" ht="30" customHeight="1">
      <x:c r="A7" s="24" t="str">
        <x:v>SEAM_FLOOD_ELEVATION_GEOMETRY</x:v>
      </x:c>
      <x:c r="B7" s="24" t="str">
        <x:v>FLOOD_SOLAR</x:v>
      </x:c>
      <x:c r="C7" s="24" t="str">
        <x:v>Equipment elevation geometry missing</x:v>
      </x:c>
      <x:c r="D7" s="24" t="str">
        <x:v>High</x:v>
      </x:c>
      <x:c r="E7" s="24" t="str">
        <x:v>Maybe</x:v>
      </x:c>
      <x:c r="F7" s="24" t="str">
        <x:v>Yes</x:v>
      </x:c>
      <x:c r="G7" s="24" t="str">
        <x:v>Flood f is not a literature constant; it is site geometry.</x:v>
      </x:c>
      <x:c r="H7" s="24" t="str">
        <x:v>Use site survey/elevation assumptions and mark generic defaults.</x:v>
      </x:c>
      <x:c r="I7" s="24" t="str">
        <x:v>TBD</x:v>
      </x:c>
      <x:c r="J7" s="24" t="str">
        <x:v>Open</x:v>
      </x:c>
      <x:c r="K7" s="24" t="str">
        <x:v>Core flood exposure input.</x:v>
      </x:c>
    </x:row>
    <x:row r="8" ht="30" customHeight="1">
      <x:c r="A8" s="24" t="str">
        <x:v>SEAM_FLOOD_ELECTRICAL_RATINGS</x:v>
      </x:c>
      <x:c r="B8" s="24" t="str">
        <x:v>FLOOD_SOLAR</x:v>
      </x:c>
      <x:c r="C8" s="24" t="str">
        <x:v>IP/NEMA/electrical ratings missing</x:v>
      </x:c>
      <x:c r="D8" s="24" t="str">
        <x:v>Medium</x:v>
      </x:c>
      <x:c r="E8" s="24" t="str">
        <x:v>Maybe</x:v>
      </x:c>
      <x:c r="F8" s="24" t="str">
        <x:v>Yes</x:v>
      </x:c>
      <x:c r="G8" s="24" t="str">
        <x:v>Electrical ingress thresholds depend on enclosure ratings and energized state.</x:v>
      </x:c>
      <x:c r="H8" s="24" t="str">
        <x:v>Equipment spec sourcing or conservative states.</x:v>
      </x:c>
      <x:c r="I8" s="24" t="str">
        <x:v>TBD</x:v>
      </x:c>
      <x:c r="J8" s="24" t="str">
        <x:v>Open</x:v>
      </x:c>
      <x:c r="K8" s="24" t="str">
        <x:v>Standards may anchor ingress, not full curve.</x:v>
      </x:c>
    </x:row>
    <x:row r="9" ht="30" customHeight="1">
      <x:c r="A9" s="24" t="str">
        <x:v>SEAM_FLOOD_DEPTH_VELOCITY_SPLIT</x:v>
      </x:c>
      <x:c r="B9" s="24" t="str">
        <x:v>FLOOD_SOLAR</x:v>
      </x:c>
      <x:c r="C9" s="24" t="str">
        <x:v>Depth and velocity split</x:v>
      </x:c>
      <x:c r="D9" s="24" t="str">
        <x:v>Medium</x:v>
      </x:c>
      <x:c r="E9" s="24" t="str">
        <x:v>Maybe</x:v>
      </x:c>
      <x:c r="F9" s="24" t="str">
        <x:v>Yes</x:v>
      </x:c>
      <x:c r="G9" s="24" t="str">
        <x:v>Depth drives ingress; velocity drives scour/structural load.</x:v>
      </x:c>
      <x:c r="H9" s="24" t="str">
        <x:v>Keep separate univariate curves unless true 2-D required.</x:v>
      </x:c>
      <x:c r="I9" s="24" t="str">
        <x:v>TBD</x:v>
      </x:c>
      <x:c r="J9" s="24" t="str">
        <x:v>Open</x:v>
      </x:c>
      <x:c r="K9" s="24" t="str">
        <x:v>Escape from premature 2-D.</x:v>
      </x:c>
    </x:row>
    <x:row r="10" ht="30" customHeight="1">
      <x:c r="A10" s="24" t="str">
        <x:v>SEAM_WIND_TORNADO_AXIS</x:v>
      </x:c>
      <x:c r="B10" s="24" t="str">
        <x:v>WIND_TORNADO_WIND</x:v>
      </x:c>
      <x:c r="C10" s="24" t="str">
        <x:v>Tornado/strong wind axis bridge</x:v>
      </x:c>
      <x:c r="D10" s="24" t="str">
        <x:v>High</x:v>
      </x:c>
      <x:c r="E10" s="24" t="str">
        <x:v>Maybe</x:v>
      </x:c>
      <x:c r="F10" s="24" t="str">
        <x:v>Yes</x:v>
      </x:c>
      <x:c r="G10" s="24" t="str">
        <x:v>EF/tornado proxy may not equal turbine-level 3-second gust/loading.</x:v>
      </x:c>
      <x:c r="H10" s="24" t="str">
        <x:v>Define wind-field conversion or use consistent gust axis.</x:v>
      </x:c>
      <x:c r="I10" s="24" t="str">
        <x:v>TBD</x:v>
      </x:c>
      <x:c r="J10" s="24" t="str">
        <x:v>Open</x:v>
      </x:c>
      <x:c r="K10" s="24" t="str">
        <x:v>Axis bridge required.</x:v>
      </x:c>
    </x:row>
    <x:row r="11" ht="30" customHeight="1">
      <x:c r="A11" s="24" t="str">
        <x:v>SEAM_WIND_OPERATING_STATE</x:v>
      </x:c>
      <x:c r="B11" s="24" t="str">
        <x:v>WIND_TORNADO_WIND</x:v>
      </x:c>
      <x:c r="C11" s="24" t="str">
        <x:v>Turbine operating/feathered state</x:v>
      </x:c>
      <x:c r="D11" s="24" t="str">
        <x:v>Medium</x:v>
      </x:c>
      <x:c r="E11" s="24" t="str">
        <x:v>Maybe</x:v>
      </x:c>
      <x:c r="F11" s="24" t="str">
        <x:v>Yes</x:v>
      </x:c>
      <x:c r="G11" s="24" t="str">
        <x:v>Wind response depends on cutout, feathering, yaw, pitch/brake availability.</x:v>
      </x:c>
      <x:c r="H11" s="24" t="str">
        <x:v>Carry as conditioner; source SCADA or assume default operating state.</x:v>
      </x:c>
      <x:c r="I11" s="24" t="str">
        <x:v>TBD</x:v>
      </x:c>
      <x:c r="J11" s="24" t="str">
        <x:v>Open</x:v>
      </x:c>
      <x:c r="K11" s="24" t="str">
        <x:v>May be event-correlated.</x:v>
      </x:c>
    </x:row>
    <x:row r="12" ht="30" customHeight="1">
      <x:c r="A12" s="24" t="str">
        <x:v>SEAM_WIND_TURBINE_CLASS</x:v>
      </x:c>
      <x:c r="B12" s="24" t="str">
        <x:v>WIND_TORNADO_WIND</x:v>
      </x:c>
      <x:c r="C12" s="24" t="str">
        <x:v>Turbine class/design rating missing</x:v>
      </x:c>
      <x:c r="D12" s="24" t="str">
        <x:v>Medium</x:v>
      </x:c>
      <x:c r="E12" s="24" t="str">
        <x:v>Maybe</x:v>
      </x:c>
      <x:c r="F12" s="24" t="str">
        <x:v>Yes</x:v>
      </x:c>
      <x:c r="G12" s="24" t="str">
        <x:v>Curve selection may depend on IEC class and survival wind speed.</x:v>
      </x:c>
      <x:c r="H12" s="24" t="str">
        <x:v>Use turbine model/spec or standards anchor.</x:v>
      </x:c>
      <x:c r="I12" s="24" t="str">
        <x:v>TBD</x:v>
      </x:c>
      <x:c r="J12" s="24" t="str">
        <x:v>Open</x:v>
      </x:c>
      <x:c r="K12" s="24" t="str">
        <x:v>Selector.</x:v>
      </x:c>
    </x:row>
    <x:row r="13" ht="30" customHeight="1">
      <x:c r="A13" s="24" t="str">
        <x:v>SEAM_WIND_COMPONENT_SPLIT</x:v>
      </x:c>
      <x:c r="B13" s="24" t="str">
        <x:v>WIND_TORNADO_WIND</x:v>
      </x:c>
      <x:c r="C13" s="24" t="str">
        <x:v>Nacelle rollup split unresolved</x:v>
      </x:c>
      <x:c r="D13" s="24" t="str">
        <x:v>Low/Medium</x:v>
      </x:c>
      <x:c r="E13" s="24" t="str">
        <x:v>No</x:v>
      </x:c>
      <x:c r="F13" s="24" t="str">
        <x:v>Yes</x:v>
      </x:c>
      <x:c r="G13" s="24" t="str">
        <x:v>Public value data may not split nacelle components at grain needed for curve.</x:v>
      </x:c>
      <x:c r="H13" s="24" t="str">
        <x:v>Keep rollup until evidence forces split.</x:v>
      </x:c>
      <x:c r="I13" s="24" t="str">
        <x:v>TBD</x:v>
      </x:c>
      <x:c r="J13" s="24" t="str">
        <x:v>Open</x:v>
      </x:c>
      <x:c r="K13" s="24" t="str">
        <x:v>Avoid false precision.</x:v>
      </x:c>
    </x:row>
    <x:row r="14" ht="30" customHeight="1">
      <x:c r="A14" s="24" t="str">
        <x:v>SEAM_WIND_TOWER_FOUNDATION_COUPLING</x:v>
      </x:c>
      <x:c r="B14" s="24" t="str">
        <x:v>WIND_TORNADO_WIND</x:v>
      </x:c>
      <x:c r="C14" s="24" t="str">
        <x:v>Tower/foundation coupling</x:v>
      </x:c>
      <x:c r="D14" s="24" t="str">
        <x:v>High</x:v>
      </x:c>
      <x:c r="E14" s="24" t="str">
        <x:v>Maybe</x:v>
      </x:c>
      <x:c r="F14" s="24" t="str">
        <x:v>Yes</x:v>
      </x:c>
      <x:c r="G14" s="24" t="str">
        <x:v>Tower collapse and foundation damage may not be additive.</x:v>
      </x:c>
      <x:c r="H14" s="24" t="str">
        <x:v>Add joint/priority rule only if joint loss differs from sum.</x:v>
      </x:c>
      <x:c r="I14" s="24" t="str">
        <x:v>TBD</x:v>
      </x:c>
      <x:c r="J14" s="24" t="str">
        <x:v>Open</x:v>
      </x:c>
      <x:c r="K14" s="24" t="str">
        <x:v>Only place grouping primitive may become justified.</x:v>
      </x:c>
    </x:row>
    <x:row r="15" ht="30" customHeight="1">
      <x:c r="A15" s="24" t="str">
        <x:v>SEAM_WILDFIRE_RESIDENCE_TIME</x:v>
      </x:c>
      <x:c r="B15" s="24" t="str">
        <x:v>WILDFIRE_SOLAR</x:v>
      </x:c>
      <x:c r="C15" s="24" t="str">
        <x:v>Wildfire residence time deferred axis</x:v>
      </x:c>
      <x:c r="D15" s="24" t="str">
        <x:v>High</x:v>
      </x:c>
      <x:c r="E15" s="24" t="str">
        <x:v>Maybe</x:v>
      </x:c>
      <x:c r="F15" s="24" t="str">
        <x:v>Yes</x:v>
      </x:c>
      <x:c r="G15" s="24" t="str">
        <x:v>Thermal damage depends on intensity and duration; v1 carries intensity only.</x:v>
      </x:c>
      <x:c r="H15" s="24" t="str">
        <x:v>Carry deferred axis; climb to 2-D if evidence/metrics require.</x:v>
      </x:c>
      <x:c r="I15" s="24" t="str">
        <x:v>TBD</x:v>
      </x:c>
      <x:c r="J15" s="24" t="str">
        <x:v>Open</x:v>
      </x:c>
      <x:c r="K15" s="24" t="str">
        <x:v>Known v1 limitation.</x:v>
      </x:c>
    </x:row>
    <x:row r="16">
      <x:c r="A16" s="24" t="str">
        <x:v>SEAM_WILDFIRE_COLLECTION_EXPOSURE</x:v>
      </x:c>
      <x:c r="B16" s="24" t="str">
        <x:v>WILDFIRE_SOLAR</x:v>
      </x:c>
      <x:c r="C16" s="24" t="str">
        <x:v>Exposed cable/connector share uncertain</x:v>
      </x:c>
      <x:c r="D16" s="24" t="str">
        <x:v>Medium</x:v>
      </x:c>
      <x:c r="E16" s="24" t="str">
        <x:v>Maybe</x:v>
      </x:c>
      <x:c r="F16" s="24" t="str">
        <x:v>Yes</x:v>
      </x:c>
      <x:c r="G16" s="24" t="str">
        <x:v>Electrical collection value includes buried and protected items; wildfire likely affects subset.</x:v>
      </x:c>
      <x:c r="H16" s="24" t="str">
        <x:v>Source routing/exposed cable share or use placeholder f.</x:v>
      </x:c>
      <x:c r="I16" s="24" t="str">
        <x:v>TBD</x:v>
      </x:c>
      <x:c r="J16" s="24" t="str">
        <x:v>Open</x:v>
      </x:c>
      <x:c r="K16" s="24" t="str">
        <x:v>Value f issue.</x:v>
      </x:c>
    </x:row>
    <x:row r="17">
      <x:c r="A17" s="24" t="str">
        <x:v>SEAM_SITE_HAIL_FREQUENCY</x:v>
      </x:c>
      <x:c r="B17" s="24" t="str">
        <x:v>HAIL_SOLAR</x:v>
      </x:c>
      <x:c r="C17" s="24" t="str">
        <x:v>Site MESH exceedance frequency</x:v>
      </x:c>
      <x:c r="D17" s="24" t="str">
        <x:v>High</x:v>
      </x:c>
      <x:c r="E17" s="24" t="str">
        <x:v>Yes</x:v>
      </x:c>
      <x:c r="F17" s="24" t="str">
        <x:v>Yes</x:v>
      </x:c>
      <x:c r="G17" s="24" t="str">
        <x:v>EAL and return-period loss require a site-specific MESH frequency curve.</x:v>
      </x:c>
      <x:c r="H17" s="24" t="str">
        <x:v>Source from hazard provider, MRMS/MESH frequency analysis, insurer map, or site study.</x:v>
      </x:c>
      <x:c r="I17" s="24" t="str">
        <x:v>TBD</x:v>
      </x:c>
      <x:c r="J17" s="24" t="str">
        <x:v>Open</x:v>
      </x:c>
      <x:c r="K17" s="24" t="str">
        <x:v>v1.1 defaults are illustrative.</x:v>
      </x:c>
    </x:row>
    <x:row r="18">
      <x:c r="A18" s="24" t="str">
        <x:v>SEAM_STOW_OPERATIONS_MODEL</x:v>
      </x:c>
      <x:c r="B18" s="24" t="str">
        <x:v>HAIL_SOLAR</x:v>
      </x:c>
      <x:c r="C18" s="24" t="str">
        <x:v>P(stowed | forecast/control/lead time)</x:v>
      </x:c>
      <x:c r="D18" s="24" t="str">
        <x:v>Medium/High</x:v>
      </x:c>
      <x:c r="E18" s="24" t="str">
        <x:v>Maybe</x:v>
      </x:c>
      <x:c r="F18" s="24" t="str">
        <x:v>Yes</x:v>
      </x:c>
      <x:c r="G18" s="24" t="str">
        <x:v>Stow is currently scenario-weighted, not a stochastic operations model.</x:v>
      </x:c>
      <x:c r="H18" s="24" t="str">
        <x:v>Build forecast/lead-time/control-availability model if material.</x:v>
      </x:c>
      <x:c r="I18" s="24" t="str">
        <x:v>TBD</x:v>
      </x:c>
      <x:c r="J18" s="24" t="str">
        <x:v>Open</x:v>
      </x:c>
      <x:c r="K18" s="24" t="str">
        <x:v>Current P(stowed) is an input.</x:v>
      </x:c>
    </x:row>
    <x:row r="19">
      <x:c r="A19" s="24" t="str">
        <x:v>SEAM_SWATH_EXPOSURE</x:v>
      </x:c>
      <x:c r="B19" s="24" t="str">
        <x:v>HAIL_SOLAR</x:v>
      </x:c>
      <x:c r="C19" s="24" t="str">
        <x:v>Footprint exposure fraction</x:v>
      </x:c>
      <x:c r="D19" s="24" t="str">
        <x:v>Medium</x:v>
      </x:c>
      <x:c r="E19" s="24" t="str">
        <x:v>Maybe</x:v>
      </x:c>
      <x:c r="F19" s="24" t="str">
        <x:v>Maybe</x:v>
      </x:c>
      <x:c r="G19" s="24" t="str">
        <x:v>Site loss depends on how much of the asset footprint is inside the damaging hail swath.</x:v>
      </x:c>
      <x:c r="H19" s="24" t="str">
        <x:v>Use event footprint overlay / MESH raster intersection.</x:v>
      </x:c>
      <x:c r="I19" s="24" t="str">
        <x:v>TBD</x:v>
      </x:c>
      <x:c r="J19" s="24" t="str">
        <x:v>Open</x:v>
      </x:c>
      <x:c r="K19" s="24" t="str">
        <x:v>Default is 100% exposure.</x:v>
      </x:c>
    </x:row>
    <x:row r="20">
      <x:c r="A20" s="24" t="str">
        <x:v>SEAM_TAIL_HAZARD_DISTRIBUTION</x:v>
      </x:c>
      <x:c r="B20" s="24" t="str">
        <x:v>HAIL_SOLAR</x:v>
      </x:c>
      <x:c r="C20" s="24" t="str">
        <x:v>Extreme tail beyond final threshold</x:v>
      </x:c>
      <x:c r="D20" s="24" t="str">
        <x:v>High</x:v>
      </x:c>
      <x:c r="E20" s="24" t="str">
        <x:v>No</x:v>
      </x:c>
      <x:c r="F20" s="24" t="str">
        <x:v>Yes</x:v>
      </x:c>
      <x:c r="G20" s="24" t="str">
        <x:v>PML/tail metrics require a credible tail distribution and curve spread.</x:v>
      </x:c>
      <x:c r="H20" s="24" t="str">
        <x:v>Use provider exceedance tail or EVT/statistical fit.</x:v>
      </x:c>
      <x:c r="I20" s="24" t="str">
        <x:v>TBD</x:v>
      </x:c>
      <x:c r="J20" s="24" t="str">
        <x:v>Open</x:v>
      </x:c>
      <x:c r="K20" s="24" t="str">
        <x:v>Tail/PML withheld in v1.1.</x:v>
      </x:c>
    </x:row>
  </x:sheetData>
  <x:pageMargins left="0.7" right="0.7" top="0.75" bottom="0.75" header="0.3" footer="0.3"/>
  <x:tableParts count="1">
    <x:tablePart xmlns:r="http://schemas.openxmlformats.org/officeDocument/2006/relationships" r:id="R0af0f472c96d45b4"/>
  </x:tableParts>
</x:worksheet>
</file>

<file path=xl/worksheets/sheet17.xml><?xml version="1.0" encoding="utf-8"?>
<x:worksheet xmlns:x="http://schemas.openxmlformats.org/spreadsheetml/2006/main">
  <x:sheetFormatPr defaultRowHeight="15"/>
  <x:cols>
    <x:col min="1" max="1" width="28" hidden="0" customWidth="1"/>
    <x:col min="2" max="2" width="18" hidden="0" customWidth="1"/>
    <x:col min="3" max="3" width="42" hidden="0" customWidth="1"/>
    <x:col min="4" max="4" width="58" hidden="0" customWidth="1"/>
    <x:col min="5" max="5" width="34" hidden="0" customWidth="1"/>
    <x:col min="6" max="6" width="46" hidden="0" customWidth="1"/>
  </x:cols>
  <x:sheetData>
    <x:row r="1" ht="30" customHeight="1">
      <x:c r="A1" s="101" t="str">
        <x:v>source_id</x:v>
      </x:c>
      <x:c r="B1" s="101" t="str">
        <x:v>source_type</x:v>
      </x:c>
      <x:c r="C1" s="101" t="str">
        <x:v>title</x:v>
      </x:c>
      <x:c r="D1" s="101" t="str">
        <x:v>location_or_url</x:v>
      </x:c>
      <x:c r="E1" s="101" t="str">
        <x:v>used_for</x:v>
      </x:c>
      <x:c r="F1" s="101" t="str">
        <x:v>notes</x:v>
      </x:c>
      <x:c r="G1" s="37"/>
      <x:c r="H1" s="37"/>
      <x:c r="I1" s="37"/>
      <x:c r="J1" s="37"/>
      <x:c r="K1" s="37"/>
      <x:c r="L1" s="37"/>
      <x:c r="M1" s="37"/>
      <x:c r="N1" s="37"/>
      <x:c r="O1" s="37"/>
      <x:c r="P1" s="37"/>
      <x:c r="Q1" s="37"/>
      <x:c r="R1" s="37"/>
      <x:c r="S1" s="37"/>
      <x:c r="T1" s="37"/>
      <x:c r="U1" s="37"/>
      <x:c r="V1" s="37"/>
      <x:c r="W1" s="37"/>
      <x:c r="X1" s="37"/>
      <x:c r="Y1" s="37"/>
      <x:c r="Z1" s="37"/>
    </x:row>
    <x:row r="2" ht="30" customHeight="1">
      <x:c r="A2" s="24" t="str">
        <x:v>SRC_FOUNDATION_ZIP</x:v>
      </x:c>
      <x:c r="B2" s="24" t="str">
        <x:v>local_bundle</x:v>
      </x:c>
      <x:c r="C2" s="24" t="str">
        <x:v>Damage-curve foundations bundle</x:v>
      </x:c>
      <x:c r="D2" s="24" t="str">
        <x:v>damage_curve_foundations.zip</x:v>
      </x:c>
      <x:c r="E2" s="24" t="str">
        <x:v>Framework and governing docs</x:v>
      </x:c>
      <x:c r="F2" s="24" t="str">
        <x:v>Unpacked in /mnt/data/damage_curve_foundations/.</x:v>
      </x:c>
    </x:row>
    <x:row r="3" ht="30" customHeight="1">
      <x:c r="A3" s="24" t="str">
        <x:v>SRC_ASSEMBLED_RECORD</x:v>
      </x:c>
      <x:c r="B3" s="24" t="str">
        <x:v>local_doc</x:v>
      </x:c>
      <x:c r="C3" s="24" t="str">
        <x:v>00 assembled curve record</x:v>
      </x:c>
      <x:c r="D3" s="24" t="str">
        <x:v>damage_curve_foundations/00_assembled_curve_record.md</x:v>
      </x:c>
      <x:c r="E3" s="24" t="str">
        <x:v>Record schema and governed_by principle</x:v>
      </x:c>
      <x:c r="F3" s="24" t="str">
        <x:v>Each field maps to governing doc.</x:v>
      </x:c>
    </x:row>
    <x:row r="4" ht="30" customHeight="1">
      <x:c r="A4" s="24" t="str">
        <x:v>SRC_VAL_GUIDE</x:v>
      </x:c>
      <x:c r="B4" s="24" t="str">
        <x:v>local_doc</x:v>
      </x:c>
      <x:c r="C4" s="24" t="str">
        <x:v>Valuation guide</x:v>
      </x:c>
      <x:c r="D4" s="24" t="str">
        <x:v>03_valuation_guide.md</x:v>
      </x:c>
      <x:c r="E4" s="24" t="str">
        <x:v>Basis, value_share, at_risk_f, physical base</x:v>
      </x:c>
      <x:c r="F4" s="24" t="str">
        <x:v>Basis-first rule and f-kind logic.</x:v>
      </x:c>
    </x:row>
    <x:row r="5" ht="30" customHeight="1">
      <x:c r="A5" s="24" t="str">
        <x:v>SRC_SUBSTRATE</x:v>
      </x:c>
      <x:c r="B5" s="24" t="str">
        <x:v>local_doc</x:v>
      </x:c>
      <x:c r="C5" s="24" t="str">
        <x:v>Engineering substrate decomposition</x:v>
      </x:c>
      <x:c r="D5" s="24" t="str">
        <x:v>substrate_decomposition.md</x:v>
      </x:c>
      <x:c r="E5" s="24" t="str">
        <x:v>Subsystem/component vocabulary</x:v>
      </x:c>
      <x:c r="F5" s="24" t="str">
        <x:v>Runtime truth is DB lookup; doc is readable consolidation.</x:v>
      </x:c>
    </x:row>
    <x:row r="6" ht="30" customHeight="1">
      <x:c r="A6" s="24" t="str">
        <x:v>SRC_VALUE_WORKBOOK</x:v>
      </x:c>
      <x:c r="B6" s="24" t="str">
        <x:v>local_xlsx</x:v>
      </x:c>
      <x:c r="C6" s="24" t="str">
        <x:v>Solar/wind value breakdown workbook</x:v>
      </x:c>
      <x:c r="D6" s="24" t="str">
        <x:v>solar_wind_value_breakdown.xlsx</x:v>
      </x:c>
      <x:c r="E6" s="24" t="str">
        <x:v>Default value shares and physical bases</x:v>
      </x:c>
      <x:c r="F6" s="24" t="str">
        <x:v>Source for scaffold cap_L values.</x:v>
      </x:c>
    </x:row>
    <x:row r="7" ht="30" customHeight="1">
      <x:c r="A7" s="24" t="str">
        <x:v>SRC_NREL_SOLAR_PVSCM</x:v>
      </x:c>
      <x:c r="B7" s="24" t="str">
        <x:v>public_url</x:v>
      </x:c>
      <x:c r="C7" s="24" t="str">
        <x:v>NREL PVSCM UPV source file</x:v>
      </x:c>
      <x:c r="D7" s="24" t="str">
        <x:v>https://data.nlr.gov/system/files/304/1767739491-UPV%202025Q1.txt</x:v>
      </x:c>
      <x:c r="E7" s="24" t="str">
        <x:v>Solar valuation rows</x:v>
      </x:c>
      <x:c r="F7" s="24" t="str">
        <x:v>Used in prior valuation workbook.</x:v>
      </x:c>
    </x:row>
    <x:row r="8" ht="30" customHeight="1">
      <x:c r="A8" s="24" t="str">
        <x:v>SRC_NREL_WIND_CWER</x:v>
      </x:c>
      <x:c r="B8" s="24" t="str">
        <x:v>public_url</x:v>
      </x:c>
      <x:c r="C8" s="24" t="str">
        <x:v>NREL Cost of Wind Energy Review 2024 Edition</x:v>
      </x:c>
      <x:c r="D8" s="24" t="str">
        <x:v>https://www.nrel.gov/docs/fy25osti/91775.pdf</x:v>
      </x:c>
      <x:c r="E8" s="24" t="str">
        <x:v>Wind valuation rows</x:v>
      </x:c>
      <x:c r="F8" s="24" t="str">
        <x:v>Used in prior valuation workbook.</x:v>
      </x:c>
    </x:row>
    <x:row r="9">
      <x:c r="A9" s="24" t="str">
        <x:v>SRC_NOAA_STORM_EVENTS_FAQ</x:v>
      </x:c>
      <x:c r="B9" s="24" t="str">
        <x:v>public_url</x:v>
      </x:c>
      <x:c r="C9" s="24" t="str">
        <x:v>NOAA/NCEI Storm Events FAQ</x:v>
      </x:c>
      <x:c r="D9" s="24" t="str">
        <x:v>https://www.ncei.noaa.gov/stormevents/faq.jsp</x:v>
      </x:c>
      <x:c r="E9" s="24" t="str">
        <x:v>Hail operational x-axis source-native size</x:v>
      </x:c>
      <x:c r="F9" s="24" t="str">
        <x:v>Hail magnitude reported in inches/hundredths; supports diameter axis.</x:v>
      </x:c>
    </x:row>
    <x:row r="10">
      <x:c r="A10" s="24" t="str">
        <x:v>SRC_NOAA_MESH_WDTD</x:v>
      </x:c>
      <x:c r="B10" s="24" t="str">
        <x:v>public_url</x:v>
      </x:c>
      <x:c r="C10" s="24" t="str">
        <x:v>NOAA/NWS WDTD Maximum Estimated Size of Hail (MESH)</x:v>
      </x:c>
      <x:c r="D10" s="24" t="str">
        <x:v>https://vlab.noaa.gov/web/wdtd/-/maximum-estimated-size-of-hail-mes-2</x:v>
      </x:c>
      <x:c r="E10" s="24" t="str">
        <x:v>MESH-equivalent hail-size axis</x:v>
      </x:c>
      <x:c r="F10" s="24" t="str">
        <x:v>MESH displays inches and uses mm in calculations; use as estimated max hail size.</x:v>
      </x:c>
    </x:row>
    <x:row r="11">
      <x:c r="A11" s="24" t="str">
        <x:v>SRC_DOE_FEMP_PV_HAIL</x:v>
      </x:c>
      <x:c r="B11" s="24" t="str">
        <x:v>public_url</x:v>
      </x:c>
      <x:c r="C11" s="24" t="str">
        <x:v>DOE/FEMP Hail Damage Mitigation for Solar PV Systems</x:v>
      </x:c>
      <x:c r="D11" s="24" t="str">
        <x:v>https://www.energy.gov/femp/hail-damage-mitigation-solar-photovoltaic-systems</x:v>
      </x:c>
      <x:c r="E11" s="24" t="str">
        <x:v>PV hail-test/selector/bridge context</x:v>
      </x:c>
      <x:c r="F11" s="24" t="str">
        <x:v>Includes glass thickness, hail-stow, and IEC diameter/mass/velocity table.</x:v>
      </x:c>
    </x:row>
    <x:row r="12">
      <x:c r="A12" s="24" t="str">
        <x:v>Kiwa PVEL 2026 HSS</x:v>
      </x:c>
      <x:c r="B12" s="24" t="str">
        <x:v>https://scorecard.pvel.com/hail-stress-sequence/</x:v>
      </x:c>
      <x:c r="C12" s="24" t="str">
        <x:v>PV hail lab test aggregate</x:v>
      </x:c>
      <x:c r="D12" s="24" t="str">
        <x:v>2026</x:v>
      </x:c>
      <x:c r="E12" s="24" t="str">
        <x:v>Hail breakage anchors for thin glass and thicker glass modules.</x:v>
      </x:c>
      <x:c r="F12" s="24" t="str">
        <x:v>Used in v1 curve derivation.</x:v>
      </x:c>
    </x:row>
    <x:row r="13">
      <x:c r="A13" s="24" t="str">
        <x:v>PVEL 2023 HSS</x:v>
      </x:c>
      <x:c r="B13" s="24" t="str">
        <x:v>https://2023modulescorecard.pvel.com/hail-stress-sequence/</x:v>
      </x:c>
      <x:c r="C13" s="24" t="str">
        <x:v>PV hail lab test aggregate</x:v>
      </x:c>
      <x:c r="D13" s="24" t="str">
        <x:v>2023</x:v>
      </x:c>
      <x:c r="E13" s="24" t="str">
        <x:v>Detailed public breakage rates at 35/40/50mm, including 3.2mm glass/backsheet at 50mm.</x:v>
      </x:c>
      <x:c r="F13" s="24" t="str">
        <x:v>Used in v1 curve derivation.</x:v>
      </x:c>
    </x:row>
    <x:row r="14">
      <x:c r="A14" s="24" t="str">
        <x:v>NREL/IEEE Extreme Weather and PV Performance</x:v>
      </x:c>
      <x:c r="B14" s="24" t="str">
        <x:v>https://research-hub.nrel.gov/en/publications/extreme-weather-and-pv-performance-2</x:v>
      </x:c>
      <x:c r="C14" s="24" t="str">
        <x:v>Field performance context</x:v>
      </x:c>
      <x:c r="D14" s="24" t="str">
        <x:v>2023</x:v>
      </x:c>
      <x:c r="E14" s="24" t="str">
        <x:v>Hail ≥25mm associated with higher PLR; median immediate production loss context.</x:v>
      </x:c>
      <x:c r="F14" s="24" t="str">
        <x:v>Context only, not replacement curve.</x:v>
      </x:c>
    </x:row>
    <x:row r="15">
      <x:c r="A15" s="24" t="str">
        <x:v>DOE/FEMP Hail Damage Mitigation PV Systems</x:v>
      </x:c>
      <x:c r="B15" s="24" t="str">
        <x:v>https://www.energy.gov/cmei/femp/hail-damage-mitigation-pv-systems</x:v>
      </x:c>
      <x:c r="C15" s="24" t="str">
        <x:v>Standards/mitigation guide</x:v>
      </x:c>
      <x:c r="D15" s="24" t="str">
        <x:v>current</x:v>
      </x:c>
      <x:c r="E15" s="24" t="str">
        <x:v>IEC diameter/mass/velocity table and mitigation guidance.</x:v>
      </x:c>
      <x:c r="F15" s="24" t="str">
        <x:v>Used for anchors and KE bridge.</x:v>
      </x:c>
    </x:row>
    <x:row r="17">
      <x:c r="A17" s="24" t="str">
        <x:v>SRC_HAIL_V1_1_WORKBOOK</x:v>
      </x:c>
      <x:c r="B17" s="24" t="str">
        <x:v>local_xlsx</x:v>
      </x:c>
      <x:c r="C17" s="24" t="str">
        <x:v>Hail solar v1.1 site adaptation workbook</x:v>
      </x:c>
      <x:c r="D17" s="24" t="str">
        <x:v>damage_curve_records_v1_1_hail_solar_site_adaptation.xlsx</x:v>
      </x:c>
      <x:c r="E17" s="24" t="str">
        <x:v>Site adaptation and risk interface</x:v>
      </x:c>
      <x:c r="F17" s="24" t="str">
        <x:v>Adds conditioning, frequency, return-period loss, and illustrative EAL.</x:v>
      </x:c>
    </x:row>
    <x:row r="18">
      <x:c r="A18" s="24" t="str">
        <x:v>SRC_SITE_HAZARD_PROVIDER</x:v>
      </x:c>
      <x:c r="B18" s="24" t="str">
        <x:v>external_placeholder</x:v>
      </x:c>
      <x:c r="C18" s="24" t="str">
        <x:v>Site-specific hail/MESH frequency curve</x:v>
      </x:c>
      <x:c r="D18" s="24" t="str">
        <x:v>provider / MRMS-derived / insurer / site study</x:v>
      </x:c>
      <x:c r="E18" s="24" t="str">
        <x:v>Replace Hail_Hazard_Frequency defaults</x:v>
      </x:c>
      <x:c r="F18" s="24" t="str">
        <x:v>Required before final EAL or return-period loss reporting.</x:v>
      </x:c>
    </x:row>
    <x:row r="19">
      <x:c r="A19" s="24" t="str">
        <x:v>SRC_SITE_OPERATIONS_INPUT</x:v>
      </x:c>
      <x:c r="B19" s="24" t="str">
        <x:v>project_input_placeholder</x:v>
      </x:c>
      <x:c r="C19" s="24" t="str">
        <x:v>Hail stow operations assumptions</x:v>
      </x:c>
      <x:c r="D19" s="24" t="str">
        <x:v>site SCADA / O&amp;M / hail stow protocol</x:v>
      </x:c>
      <x:c r="E19" s="24" t="str">
        <x:v>P(stowed), stow mode, stow shift scenario</x:v>
      </x:c>
      <x:c r="F19" s="24" t="str">
        <x:v>Required before relying on mitigation scenarios.</x:v>
      </x:c>
    </x:row>
    <x:row r="20">
      <x:c r="A20" s="24" t="str">
        <x:v>SRC_SITE_SWATH_OVERLAY</x:v>
      </x:c>
      <x:c r="B20" s="24" t="str">
        <x:v>project_input_placeholder</x:v>
      </x:c>
      <x:c r="C20" s="24" t="str">
        <x:v>Hail swath footprint exposure</x:v>
      </x:c>
      <x:c r="D20" s="24" t="str">
        <x:v>event raster overlay / MESH swath intersection</x:v>
      </x:c>
      <x:c r="E20" s="24" t="str">
        <x:v>Exposure fraction</x:v>
      </x:c>
      <x:c r="F20" s="24" t="str">
        <x:v>Default is 100%; site-specific overlay should override.</x:v>
      </x:c>
    </x:row>
  </x:sheetData>
  <x:pageMargins left="0.7" right="0.7" top="0.75" bottom="0.75" header="0.3" footer="0.3"/>
  <x:tableParts count="1">
    <x:tablePart xmlns:r="http://schemas.openxmlformats.org/officeDocument/2006/relationships" r:id="Ra842a29bbeeb41f3"/>
  </x:tableParts>
</x:worksheet>
</file>

<file path=xl/worksheets/sheet18.xml><?xml version="1.0" encoding="utf-8"?>
<x:worksheet xmlns:x="http://schemas.openxmlformats.org/spreadsheetml/2006/main">
  <x:sheetFormatPr defaultRowHeight="15"/>
  <x:cols>
    <x:col min="1" max="1" width="16" hidden="0" customWidth="1"/>
    <x:col min="2" max="2" width="18" hidden="0" customWidth="1"/>
    <x:col min="3" max="3" width="18" hidden="0" customWidth="1"/>
    <x:col min="4" max="4" width="22" hidden="0" customWidth="1"/>
    <x:col min="5" max="5" width="18" hidden="0" customWidth="1"/>
    <x:col min="6" max="6" width="18" hidden="0" customWidth="1"/>
    <x:col min="7" max="7" width="26" hidden="0" customWidth="1"/>
  </x:cols>
  <x:sheetData>
    <x:row r="1" ht="30" customHeight="1">
      <x:c r="A1" s="40" t="str">
        <x:v>status_values</x:v>
      </x:c>
      <x:c r="B1" s="40" t="str">
        <x:v>risk_values</x:v>
      </x:c>
      <x:c r="C1" s="40" t="str">
        <x:v>action_values</x:v>
      </x:c>
      <x:c r="D1" s="40" t="str">
        <x:v>evidence_class</x:v>
      </x:c>
      <x:c r="E1" s="40" t="str">
        <x:v>emit_type</x:v>
      </x:c>
      <x:c r="F1" s="40" t="str">
        <x:v>curve_form</x:v>
      </x:c>
      <x:c r="G1" s="40" t="str">
        <x:v>f_kind</x:v>
      </x:c>
      <x:c r="H1" s="37"/>
      <x:c r="I1" s="37"/>
      <x:c r="J1" s="37"/>
      <x:c r="K1" s="37"/>
      <x:c r="L1" s="37"/>
      <x:c r="M1" s="37"/>
      <x:c r="N1" s="37"/>
      <x:c r="O1" s="37"/>
      <x:c r="P1" s="37"/>
      <x:c r="Q1" s="37"/>
      <x:c r="R1" s="37"/>
      <x:c r="S1" s="37"/>
      <x:c r="T1" s="37"/>
      <x:c r="U1" s="37"/>
      <x:c r="V1" s="37"/>
      <x:c r="W1" s="37"/>
      <x:c r="X1" s="37"/>
      <x:c r="Y1" s="37"/>
      <x:c r="Z1" s="37"/>
    </x:row>
    <x:row r="2" ht="30" customHeight="1">
      <x:c r="A2" s="24" t="str">
        <x:v>Scaffold</x:v>
      </x:c>
      <x:c r="B2" s="24" t="str">
        <x:v>Low</x:v>
      </x:c>
      <x:c r="C2" s="24" t="str">
        <x:v>Build now</x:v>
      </x:c>
      <x:c r="D2" s="24" t="str">
        <x:v>empirical</x:v>
      </x:c>
      <x:c r="E2" s="24" t="str">
        <x:v>scalar</x:v>
      </x:c>
      <x:c r="F2" s="24" t="str">
        <x:v>DR0</x:v>
      </x:c>
      <x:c r="G2" s="24" t="str">
        <x:v>material_share</x:v>
      </x:c>
    </x:row>
    <x:row r="3" ht="30" customHeight="1">
      <x:c r="A3" s="24" t="str">
        <x:v>Preflight</x:v>
      </x:c>
      <x:c r="B3" s="24" t="str">
        <x:v>Low/Medium</x:v>
      </x:c>
      <x:c r="C3" s="24" t="str">
        <x:v>Build later</x:v>
      </x:c>
      <x:c r="D3" s="24" t="str">
        <x:v>analytical</x:v>
      </x:c>
      <x:c r="E3" s="24" t="str">
        <x:v>spread</x:v>
      </x:c>
      <x:c r="F3" s="24" t="str">
        <x:v>step</x:v>
      </x:c>
      <x:c r="G3" s="24" t="str">
        <x:v>site_geometry</x:v>
      </x:c>
    </x:row>
    <x:row r="4" ht="30" customHeight="1">
      <x:c r="A4" s="24" t="str">
        <x:v>Sourcing</x:v>
      </x:c>
      <x:c r="B4" s="24" t="str">
        <x:v>Medium</x:v>
      </x:c>
      <x:c r="C4" s="24" t="str">
        <x:v>Parked</x:v>
      </x:c>
      <x:c r="D4" s="24" t="str">
        <x:v>standard</x:v>
      </x:c>
      <x:c r="E4" s="24" t="str">
        <x:v>states</x:v>
      </x:c>
      <x:c r="F4" s="24" t="str">
        <x:v>states</x:v>
      </x:c>
      <x:c r="G4" s="24" t="str">
        <x:v>n/a</x:v>
      </x:c>
    </x:row>
    <x:row r="5" ht="30" customHeight="1">
      <x:c r="A5" s="24" t="str">
        <x:v>Parameterized</x:v>
      </x:c>
      <x:c r="B5" s="24" t="str">
        <x:v>Medium/High</x:v>
      </x:c>
      <x:c r="C5" s="24" t="str">
        <x:v>Needs decision</x:v>
      </x:c>
      <x:c r="D5" s="24" t="str">
        <x:v>expert_judgment</x:v>
      </x:c>
      <x:c r="E5" s="24" t="str">
        <x:v>distribution</x:v>
      </x:c>
      <x:c r="F5" s="24" t="str">
        <x:v>sigmoid</x:v>
      </x:c>
      <x:c r="G5" s="24" t="str">
        <x:v>placeholder</x:v>
      </x:c>
    </x:row>
    <x:row r="6" ht="30" customHeight="1">
      <x:c r="A6" s="24" t="str">
        <x:v>Review</x:v>
      </x:c>
      <x:c r="B6" s="24" t="str">
        <x:v>High</x:v>
      </x:c>
      <x:c r="C6" s="24" t="str">
        <x:v>Approved</x:v>
      </x:c>
      <x:c r="D6" s="24" t="str">
        <x:v>hybrid</x:v>
      </x:c>
      <x:c r="E6" s="24" t="str">
        <x:v>pending</x:v>
      </x:c>
      <x:c r="F6" s="24" t="str">
        <x:v>distribution</x:v>
      </x:c>
      <x:c r="G6" s="24" t="str">
        <x:v>thermal_exposure_placeholder</x:v>
      </x:c>
    </x:row>
    <x:row r="7" ht="30" customHeight="1">
      <x:c r="A7" s="24" t="str">
        <x:v>Approved</x:v>
      </x:c>
      <x:c r="B7" s="24" t="str">
        <x:v>Unknown</x:v>
      </x:c>
      <x:c r="C7" s="24"/>
      <x:c r="D7" s="24" t="str">
        <x:v>placeholder</x:v>
      </x:c>
      <x:c r="E7" s="24" t="str">
        <x:v>DR0</x:v>
      </x:c>
      <x:c r="F7" s="24" t="str">
        <x:v>TBD</x:v>
      </x:c>
      <x:c r="G7" s="24" t="str">
        <x:v>component_exposure_placeholder</x:v>
      </x:c>
    </x:row>
    <x:row r="8" ht="30" customHeight="1">
      <x:c r="A8" s="24" t="str">
        <x:v>Parked</x:v>
      </x:c>
      <x:c r="B8" s="24"/>
      <x:c r="C8" s="24"/>
      <x:c r="D8" s="24"/>
      <x:c r="E8" s="24"/>
      <x:c r="F8" s="24"/>
      <x:c r="G8" s="24"/>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34" hidden="0" customWidth="1"/>
    <x:col min="2" max="2" width="26" hidden="0" customWidth="1"/>
    <x:col min="3" max="3" width="26" hidden="0" customWidth="1"/>
    <x:col min="4" max="4" width="34" hidden="0" customWidth="1"/>
    <x:col min="5" max="5" width="50" hidden="0" customWidth="1"/>
    <x:col min="6" max="6" width="22" hidden="0" customWidth="1"/>
    <x:col min="7" max="7" width="20" hidden="0" customWidth="1"/>
    <x:col min="8" max="8" width="38" hidden="0" customWidth="1"/>
    <x:col min="9" max="9" width="16" hidden="0" customWidth="1"/>
    <x:col min="10" max="10" width="44" hidden="0" customWidth="1"/>
  </x:cols>
  <x:sheetData>
    <x:row r="1">
      <x:c r="A1" s="55" t="str">
        <x:v>bridge_axis_id</x:v>
      </x:c>
      <x:c r="B1" s="55" t="str">
        <x:v>from_axis_id</x:v>
      </x:c>
      <x:c r="C1" s="55" t="str">
        <x:v>to_axis_id</x:v>
      </x:c>
      <x:c r="D1" s="55" t="str">
        <x:v>bridge_label</x:v>
      </x:c>
      <x:c r="E1" s="55" t="str">
        <x:v>formula_or_logic</x:v>
      </x:c>
      <x:c r="F1" s="55" t="str">
        <x:v>output_unit</x:v>
      </x:c>
      <x:c r="G1" s="55" t="str">
        <x:v>assumption_version_required</x:v>
      </x:c>
      <x:c r="H1" s="55" t="str">
        <x:v>source_anchor</x:v>
      </x:c>
      <x:c r="I1" s="55" t="str">
        <x:v>status</x:v>
      </x:c>
      <x:c r="J1" s="55" t="str">
        <x:v>notes</x:v>
      </x:c>
    </x:row>
    <x:row r="2">
      <x:c r="A2" s="24" t="str">
        <x:v>HAIL_DIAMETER_TO_IMPACT_KE_PROXY</x:v>
      </x:c>
      <x:c r="B2" s="24" t="str">
        <x:v>HAIL_DIAMETER_MESH_EQUIV</x:v>
      </x:c>
      <x:c r="C2" s="24" t="str">
        <x:v>HAIL_IMPACT_KE_PROXY</x:v>
      </x:c>
      <x:c r="D2" s="24" t="str">
        <x:v>Hail diameter to per-stone impact KE proxy</x:v>
      </x:c>
      <x:c r="E2" s="24" t="str">
        <x:v>E_proxy = 0.5 × m(D) × v(D)^2; m(D) and v(D) assumptions must be explicit/versioned.</x:v>
      </x:c>
      <x:c r="F2" s="24" t="str">
        <x:v>J/impact</x:v>
      </x:c>
      <x:c r="G2" s="24" t="str">
        <x:v>Yes</x:v>
      </x:c>
      <x:c r="H2" s="24" t="str">
        <x:v>DOE/FEMP IEC hail-test table: diameter, mass, velocity</x:v>
      </x:c>
      <x:c r="I2" s="24" t="str">
        <x:v>scaffold</x:v>
      </x:c>
      <x:c r="J2" s="24" t="str">
        <x:v>Use for lab-test anchoring and physical sensitivity. Do not convert provider size layers silently.</x:v>
      </x:c>
    </x:row>
    <x:row r="3">
      <x:c r="A3" s="24" t="str">
        <x:v>HAIL_IMPACT_TO_EFFECTIVE_NORMAL_IMPACT</x:v>
      </x:c>
      <x:c r="B3" s="24" t="str">
        <x:v>HAIL_IMPACT_KE_PROXY</x:v>
      </x:c>
      <x:c r="C3" s="24" t="str">
        <x:v>HAIL_IMPACT_KE_PROXY_ADJUSTED</x:v>
      </x:c>
      <x:c r="D3" s="24" t="str">
        <x:v>Impact KE to effective normal module impact</x:v>
      </x:c>
      <x:c r="E3" s="24" t="str">
        <x:v>Adjust for stow/tilt/impact angle where evidence supports it; otherwise carry stow as scenario conditioner.</x:v>
      </x:c>
      <x:c r="F3" s="24" t="str">
        <x:v>J/impact effective normal component</x:v>
      </x:c>
      <x:c r="G3" s="24" t="str">
        <x:v>Yes</x:v>
      </x:c>
      <x:c r="H3" s="24" t="str">
        <x:v>Future hail-specific module physics source</x:v>
      </x:c>
      <x:c r="I3" s="24" t="str">
        <x:v>deferred</x:v>
      </x:c>
      <x:c r="J3" s="24" t="str">
        <x:v>Do not hide stow-angle assumptions inside the curve parameters.</x:v>
      </x:c>
    </x:row>
    <x:row r="4">
      <x:c r="A4" s="24" t="str">
        <x:v>TORNADO_EF_TO_GUST_BRIDGE_TBD</x:v>
      </x:c>
      <x:c r="B4" s="24" t="str">
        <x:v>TORNADO_WIND_SPEED_PROXY</x:v>
      </x:c>
      <x:c r="C4" s="24" t="str">
        <x:v>WIND_3SEC_GUST</x:v>
      </x:c>
      <x:c r="D4" s="24" t="str">
        <x:v>Tornado proxy to turbine-level 3-sec gust</x:v>
      </x:c>
      <x:c r="E4" s="24" t="str">
        <x:v>Bridge EF/proxy fields to component-level gust/loading if sourced.</x:v>
      </x:c>
      <x:c r="F4" s="24" t="str">
        <x:v>m/s or mph</x:v>
      </x:c>
      <x:c r="G4" s="24" t="str">
        <x:v>Yes</x:v>
      </x:c>
      <x:c r="H4" s="24" t="str">
        <x:v>TBD</x:v>
      </x:c>
      <x:c r="I4" s="24" t="str">
        <x:v>open</x:v>
      </x:c>
      <x:c r="J4" s="24" t="str">
        <x:v>Do not use EF category directly as component-load axis without bridge.</x:v>
      </x:c>
    </x:row>
    <x:row r="5">
      <x:c r="A5" s="24" t="str">
        <x:v>WILDFIRE_DURATION_BRIDGE_DEFERRED</x:v>
      </x:c>
      <x:c r="B5" s="24" t="str">
        <x:v>WILDFIRE_FLI</x:v>
      </x:c>
      <x:c r="C5" s="24" t="str">
        <x:v>WILDFIRE_FLI_WITH_DURATION</x:v>
      </x:c>
      <x:c r="D5" s="24" t="str">
        <x:v>Fireline intensity with residence-time seam</x:v>
      </x:c>
      <x:c r="E5" s="24" t="str">
        <x:v>v1 uses FLI; duration/residence time remains deferred unless evidence forces true 2-D.</x:v>
      </x:c>
      <x:c r="F5" s="24" t="str">
        <x:v>kW/m plus minutes</x:v>
      </x:c>
      <x:c r="G5" s="24" t="str">
        <x:v>Yes</x:v>
      </x:c>
      <x:c r="H5" s="24" t="str">
        <x:v>TBD</x:v>
      </x:c>
      <x:c r="I5" s="24" t="str">
        <x:v>deferred</x:v>
      </x:c>
      <x:c r="J5" s="24" t="str">
        <x:v>Known v1 seam; track explicitly.</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24" hidden="0" customWidth="1"/>
    <x:col min="2" max="2" width="18" hidden="0" customWidth="1"/>
    <x:col min="3" max="3" width="20" hidden="0" customWidth="1"/>
    <x:col min="4" max="4" width="20" hidden="0" customWidth="1"/>
    <x:col min="6" max="6" width="24" hidden="0" customWidth="1"/>
    <x:col min="7" max="7" width="18" hidden="0" customWidth="1"/>
    <x:col min="8" max="8" width="24" hidden="0" customWidth="1"/>
    <x:col min="9" max="9" width="24" hidden="0" customWidth="1"/>
    <x:col min="11" max="11" width="18" hidden="0" customWidth="1"/>
    <x:col min="12" max="12" width="18" hidden="0" customWidth="1"/>
    <x:col min="13" max="13" width="18" hidden="0" customWidth="1"/>
    <x:col min="14" max="14" width="18" hidden="0" customWidth="1"/>
    <x:col min="15" max="15" width="18" hidden="0" customWidth="1"/>
  </x:cols>
  <x:sheetData>
    <x:row r="1" ht="28" customHeight="1">
      <x:c r="A1" s="88" t="str">
        <x:v>Hail × Solar curve plotting template — v0.3 (MESH diameter → loss views)</x:v>
      </x:c>
      <x:c r="B1" s="88"/>
      <x:c r="C1" s="88"/>
      <x:c r="D1" s="88"/>
      <x:c r="E1" s="88"/>
      <x:c r="F1" s="88"/>
      <x:c r="G1" s="88"/>
      <x:c r="H1" s="88"/>
      <x:c r="I1" s="88"/>
      <x:c r="J1" s="88"/>
      <x:c r="K1" s="88"/>
      <x:c r="L1" s="88"/>
      <x:c r="M1" s="88"/>
      <x:c r="N1" s="88"/>
      <x:c r="O1" s="88"/>
    </x:row>
    <x:row r="2" ht="36" customHeight="1">
      <x:c r="A2" s="67" t="str">
        <x:v>Purpose: plot the same hail curve in three different views: (1) failure-unit damage ratio, (2) subsystem loss share, and (3) total asset / TIV loss share. Values are provisional/scaffold only; curve parameters are editable and must be sourced before production use.</x:v>
      </x:c>
      <x:c r="B2" s="67"/>
      <x:c r="C2" s="67"/>
      <x:c r="D2" s="67"/>
      <x:c r="E2" s="67"/>
      <x:c r="F2" s="67"/>
      <x:c r="G2" s="67"/>
      <x:c r="H2" s="67"/>
      <x:c r="I2" s="67"/>
      <x:c r="J2" s="67"/>
      <x:c r="K2" s="67"/>
      <x:c r="L2" s="67"/>
      <x:c r="M2" s="67"/>
      <x:c r="N2" s="67"/>
      <x:c r="O2" s="67"/>
    </x:row>
    <x:row r="3" ht="36" customHeight="1">
      <x:c r="A3" s="67"/>
      <x:c r="B3" s="67"/>
      <x:c r="C3" s="67"/>
      <x:c r="D3" s="67"/>
      <x:c r="E3" s="67"/>
      <x:c r="F3" s="67"/>
      <x:c r="G3" s="67"/>
      <x:c r="H3" s="67"/>
      <x:c r="I3" s="67"/>
      <x:c r="J3" s="67"/>
      <x:c r="K3" s="67"/>
      <x:c r="L3" s="67"/>
      <x:c r="M3" s="67"/>
      <x:c r="N3" s="67"/>
      <x:c r="O3" s="67"/>
    </x:row>
    <x:row r="5">
      <x:c r="A5" s="71" t="str">
        <x:v>Asset / value inputs</x:v>
      </x:c>
      <x:c r="B5" s="71" t="str"/>
      <x:c r="C5" s="71" t="str"/>
      <x:c r="D5" s="71" t="str"/>
      <x:c r="F5" s="71" t="str">
        <x:v>Editable placeholder curve parameters</x:v>
      </x:c>
      <x:c r="G5" s="71" t="str"/>
      <x:c r="H5" s="71" t="str"/>
      <x:c r="I5" s="71" t="str"/>
      <x:c r="K5" s="71" t="str">
        <x:v>How to read the plots</x:v>
      </x:c>
      <x:c r="L5" s="71" t="str"/>
      <x:c r="M5" s="71" t="str"/>
      <x:c r="N5" s="71" t="str"/>
      <x:c r="O5" s="71" t="str"/>
    </x:row>
    <x:row r="6">
      <x:c r="A6" s="75" t="str">
        <x:v>Field</x:v>
      </x:c>
      <x:c r="B6" s="75" t="str">
        <x:v>Value</x:v>
      </x:c>
      <x:c r="C6" s="75" t="str">
        <x:v>Unit / basis</x:v>
      </x:c>
      <x:c r="D6" s="75" t="str">
        <x:v>Source / note</x:v>
      </x:c>
      <x:c r="F6" s="75" t="str">
        <x:v>Parameter</x:v>
      </x:c>
      <x:c r="G6" s="75" t="str">
        <x:v>Value</x:v>
      </x:c>
      <x:c r="H6" s="75" t="str">
        <x:v>Unit</x:v>
      </x:c>
      <x:c r="I6" s="75" t="str">
        <x:v>Meaning</x:v>
      </x:c>
      <x:c r="K6" s="67" t="str">
        <x:v>Chart 1 keeps the curve in engineering terms: MESH diameter versus damage ratio of the exposed module failure-unit and versus the PV_ARRAY loss share. Chart 2 translates the same curve into financial terms: % of physical replaceable base and % of TIV / installed capex. Do not use the TIV view alone: it hides the cap and denominator. The production curve must keep all three views tied together.</x:v>
      </x:c>
      <x:c r="L6" s="67"/>
      <x:c r="M6" s="67"/>
      <x:c r="N6" s="67"/>
      <x:c r="O6" s="67"/>
    </x:row>
    <x:row r="7" ht="28" customHeight="1">
      <x:c r="A7" s="78" t="str">
        <x:v>Installed capex / default TIV</x:v>
      </x:c>
      <x:c r="B7" s="79" t="n">
        <x:f>'Asset_Inputs'!I2</x:f>
        <x:v>112000000</x:v>
      </x:c>
      <x:c r="C7" t="str">
        <x:v>USD</x:v>
      </x:c>
      <x:c r="D7" t="n">
        <x:f>'Asset_Inputs'!I2</x:f>
        <x:v>112000000</x:v>
      </x:c>
      <x:c r="F7" s="24" t="str">
        <x:v>D_no_damage</x:v>
      </x:c>
      <x:c r="G7" s="82" t="n">
        <x:v>25</x:v>
      </x:c>
      <x:c r="H7" s="24" t="str">
        <x:v>mm</x:v>
      </x:c>
      <x:c r="I7" s="24" t="str">
        <x:v>Below/near IEC basic hail-test anchor; do not treat as universal no-loss.</x:v>
      </x:c>
      <x:c r="K7" s="67"/>
      <x:c r="L7" s="67"/>
      <x:c r="M7" s="67"/>
      <x:c r="N7" s="67"/>
      <x:c r="O7" s="67"/>
    </x:row>
    <x:row r="8" ht="28" customHeight="1">
      <x:c r="A8" s="78" t="str">
        <x:v>Physical replaceable base</x:v>
      </x:c>
      <x:c r="B8" s="79" t="n">
        <x:f>'Asset_Inputs'!J2</x:f>
        <x:v>87779570.23626669</x:v>
      </x:c>
      <x:c r="C8" t="str">
        <x:v>USD</x:v>
      </x:c>
      <x:c r="D8" t="n">
        <x:f>'Asset_Inputs'!J2</x:f>
        <x:v>87779570.23626669</x:v>
      </x:c>
      <x:c r="F8" s="24" t="str">
        <x:v>D50</x:v>
      </x:c>
      <x:c r="G8" s="82" t="n">
        <x:v>55</x:v>
      </x:c>
      <x:c r="H8" s="24" t="str">
        <x:v>mm</x:v>
      </x:c>
      <x:c r="I8" s="24" t="str">
        <x:v>Diameter where exposed-module DR reaches ~50% in this placeholder curve.</x:v>
      </x:c>
      <x:c r="K8" s="67"/>
      <x:c r="L8" s="67"/>
      <x:c r="M8" s="67"/>
      <x:c r="N8" s="67"/>
      <x:c r="O8" s="67"/>
    </x:row>
    <x:row r="9" ht="28" customHeight="1">
      <x:c r="A9" s="78" t="str">
        <x:v>Physical base / TIV</x:v>
      </x:c>
      <x:c r="B9" s="80" t="n">
        <x:f>B8/B7</x:f>
        <x:v>0.7837461628238097</x:v>
      </x:c>
      <x:c r="C9" t="str">
        <x:v>ratio</x:v>
      </x:c>
      <x:c r="D9" t="n">
        <x:f>B8/B7</x:f>
        <x:v>0.7837461628238097</x:v>
      </x:c>
      <x:c r="F9" s="24" t="str">
        <x:v>k</x:v>
      </x:c>
      <x:c r="G9" s="82" t="n">
        <x:v>0.18</x:v>
      </x:c>
      <x:c r="H9" s="24" t="str">
        <x:v>1/mm</x:v>
      </x:c>
      <x:c r="I9" s="24" t="str">
        <x:v>Sigmoid steepness; higher = sharper transition.</x:v>
      </x:c>
      <x:c r="K9" s="67"/>
      <x:c r="L9" s="67"/>
      <x:c r="M9" s="67"/>
      <x:c r="N9" s="67"/>
      <x:c r="O9" s="67"/>
    </x:row>
    <x:row r="10" ht="28" customHeight="1">
      <x:c r="A10" s="78" t="str">
        <x:v>PV_ARRAY value share</x:v>
      </x:c>
      <x:c r="B10" s="80" t="n">
        <x:f>'Value_Link'!L2</x:f>
        <x:v>0.3317569801903719</x:v>
      </x:c>
      <x:c r="C10" t="str">
        <x:v>% physical base</x:v>
      </x:c>
      <x:c r="D10" t="n">
        <x:f>'Value_Link'!L2</x:f>
        <x:v>0.3317569801903719</x:v>
      </x:c>
      <x:c r="F10" s="24" t="str">
        <x:v>max_DR_exposed</x:v>
      </x:c>
      <x:c r="G10" s="82" t="n">
        <x:v>1</x:v>
      </x:c>
      <x:c r="H10" s="24" t="str">
        <x:v>fraction</x:v>
      </x:c>
      <x:c r="I10" s="24" t="str">
        <x:v>Maximum damage ratio of exposed module glass/cell value.</x:v>
      </x:c>
      <x:c r="K10" s="67"/>
      <x:c r="L10" s="67"/>
      <x:c r="M10" s="67"/>
      <x:c r="N10" s="67"/>
      <x:c r="O10" s="67"/>
    </x:row>
    <x:row r="11" ht="28" customHeight="1">
      <x:c r="A11" s="78" t="str">
        <x:v>Hail at-risk f</x:v>
      </x:c>
      <x:c r="B11" s="80" t="n">
        <x:f>'Value_Link'!M2</x:f>
        <x:v>0.8</x:v>
      </x:c>
      <x:c r="C11" t="str">
        <x:v>fraction of PV_ARRAY</x:v>
      </x:c>
      <x:c r="D11" t="n">
        <x:f>'Value_Link'!M2</x:f>
        <x:v>0.8</x:v>
      </x:c>
      <x:c r="F11" s="24" t="str">
        <x:v>diameter_step</x:v>
      </x:c>
      <x:c r="G11" s="82" t="n">
        <x:v>5</x:v>
      </x:c>
      <x:c r="H11" s="24" t="str">
        <x:v>mm</x:v>
      </x:c>
      <x:c r="I11" s="24" t="str">
        <x:v>Data-table interval.</x:v>
      </x:c>
      <x:c r="K11" s="67"/>
      <x:c r="L11" s="67"/>
      <x:c r="M11" s="67"/>
      <x:c r="N11" s="67"/>
      <x:c r="O11" s="67"/>
    </x:row>
    <x:row r="12" ht="28" customHeight="1">
      <x:c r="A12" s="78" t="str">
        <x:v>Exposure fraction</x:v>
      </x:c>
      <x:c r="B12" s="80" t="n">
        <x:f>'Value_Link'!O2</x:f>
        <x:v>1</x:v>
      </x:c>
      <x:c r="C12" t="str">
        <x:v>fraction of field hit</x:v>
      </x:c>
      <x:c r="D12" t="n">
        <x:f>'Value_Link'!O2</x:f>
        <x:v>1</x:v>
      </x:c>
      <x:c r="F12" s="24" t="str">
        <x:v>x_max</x:v>
      </x:c>
      <x:c r="G12" s="82" t="n">
        <x:v>100</x:v>
      </x:c>
      <x:c r="H12" s="24" t="str">
        <x:v>mm</x:v>
      </x:c>
      <x:c r="I12" s="24" t="str">
        <x:v>Plot upper bound.</x:v>
      </x:c>
      <x:c r="K12" s="67"/>
      <x:c r="L12" s="67"/>
      <x:c r="M12" s="67"/>
      <x:c r="N12" s="67"/>
      <x:c r="O12" s="67"/>
    </x:row>
    <x:row r="13" ht="28" customHeight="1">
      <x:c r="A13" s="78" t="str">
        <x:v>Loss cap</x:v>
      </x:c>
      <x:c r="B13" s="79" t="n">
        <x:f>B8*B10*B11*B12</x:f>
        <x:v>23297188.115193993</x:v>
      </x:c>
      <x:c r="C13" t="str">
        <x:v>USD</x:v>
      </x:c>
      <x:c r="D13" t="n">
        <x:f>B8*B10*B11*B12</x:f>
        <x:v>23297188.115193993</x:v>
      </x:c>
      <x:c r="F13" s="24" t="str">
        <x:v>curve_status</x:v>
      </x:c>
      <x:c r="G13" s="24" t="str">
        <x:v>PLACEHOLDER</x:v>
      </x:c>
      <x:c r="H13" s="24" t="str">
        <x:v>text</x:v>
      </x:c>
      <x:c r="I13" s="24" t="str">
        <x:v>Illustrative plotting only; not a production damage curve.</x:v>
      </x:c>
      <x:c r="K13" s="67"/>
      <x:c r="L13" s="67"/>
      <x:c r="M13" s="67"/>
      <x:c r="N13" s="67"/>
      <x:c r="O13" s="67"/>
    </x:row>
    <x:row r="14" ht="28" customHeight="1">
      <x:c r="A14" s="78" t="str">
        <x:v>Loss cap</x:v>
      </x:c>
      <x:c r="B14" s="80" t="n">
        <x:f>B13/B8</x:f>
        <x:v>0.2654055841522976</x:v>
      </x:c>
      <x:c r="C14" t="str">
        <x:v>% physical base</x:v>
      </x:c>
      <x:c r="D14" t="n">
        <x:f>B13/B8</x:f>
        <x:v>0.2654055841522976</x:v>
      </x:c>
      <x:c r="F14" s="24" t="str">
        <x:v>anchor_note</x:v>
      </x:c>
      <x:c r="G14" s="24" t="str">
        <x:v>25mm IEC basic; 44mm+ severe hail concern; optional larger tests exist</x:v>
      </x:c>
      <x:c r="H14" s="24" t="str">
        <x:v>text</x:v>
      </x:c>
      <x:c r="I14" s="24" t="str">
        <x:v>Anchors guide sourcing, not final parameters.</x:v>
      </x:c>
      <x:c r="K14" s="67"/>
      <x:c r="L14" s="67"/>
      <x:c r="M14" s="67"/>
      <x:c r="N14" s="67"/>
      <x:c r="O14" s="67"/>
    </x:row>
    <x:row r="15">
      <x:c r="A15" s="78" t="str">
        <x:v>Loss cap</x:v>
      </x:c>
      <x:c r="B15" s="80" t="n">
        <x:f>B13/B7</x:f>
        <x:v>0.20801060817137493</x:v>
      </x:c>
      <x:c r="C15" t="str">
        <x:v>% TIV / installed capex</x:v>
      </x:c>
      <x:c r="D15" t="n">
        <x:f>B13/B7</x:f>
        <x:v>0.20801060817137493</x:v>
      </x:c>
    </x:row>
    <x:row r="16">
      <x:c r="A16" t="str">
        <x:v>Primary x-axis</x:v>
      </x:c>
      <x:c r="B16" t="str">
        <x:v>MESH-equivalent maximum hail diameter</x:v>
      </x:c>
      <x:c r="C16" t="str">
        <x:v>mm internal; inches accepted</x:v>
      </x:c>
      <x:c r="D16" t="str">
        <x:v>NOAA/NWS MESH + Storm Events are size-native</x:v>
      </x:c>
    </x:row>
    <x:row r="17">
      <x:c r="A17" t="str">
        <x:v>Physics bridge</x:v>
      </x:c>
      <x:c r="B17" t="str">
        <x:v>diameter → impact KE proxy</x:v>
      </x:c>
      <x:c r="C17" t="str">
        <x:v>J / impact, not J/m²</x:v>
      </x:c>
      <x:c r="D17" t="str">
        <x:v>Use only as explicit bridge; do not require as provider input</x:v>
      </x:c>
    </x:row>
    <x:row r="18">
      <x:c r="A18" t="str">
        <x:v>Status</x:v>
      </x:c>
      <x:c r="B18" t="str">
        <x:v>provisional plotting template</x:v>
      </x:c>
      <x:c r="C18" t="str">
        <x:v>not final curve</x:v>
      </x:c>
      <x:c r="D18" t="str">
        <x:v>Needs actual curve derivation and evidence log</x:v>
      </x:c>
    </x:row>
    <x:row r="41">
      <x:c r="A41" s="71" t="str">
        <x:v>Key plotted points (formula-driven from curve parameters)</x:v>
      </x:c>
      <x:c r="B41" s="71" t="str"/>
      <x:c r="C41" s="71" t="str"/>
      <x:c r="D41" s="71" t="str"/>
      <x:c r="E41" s="71" t="str"/>
      <x:c r="F41" s="71" t="str"/>
      <x:c r="G41" s="71" t="str"/>
      <x:c r="H41" s="71" t="str"/>
      <x:c r="I41" s="71" t="str"/>
      <x:c r="J41" s="71" t="str"/>
      <x:c r="K41" s="71" t="str"/>
      <x:c r="L41" s="71" t="str"/>
      <x:c r="M41" s="71" t="str"/>
      <x:c r="N41" s="71" t="str"/>
      <x:c r="O41" s="71" t="str"/>
    </x:row>
    <x:row r="42">
      <x:c r="A42" s="75" t="str">
        <x:v>MESH mm</x:v>
      </x:c>
      <x:c r="B42" s="75" t="str">
        <x:v>Exposed module DR</x:v>
      </x:c>
      <x:c r="C42" s="75" t="str">
        <x:v>PV_ARRAY loss %</x:v>
      </x:c>
      <x:c r="D42" s="75" t="str">
        <x:v>Physical base loss %</x:v>
      </x:c>
      <x:c r="E42" s="75" t="str">
        <x:v>TIV loss %</x:v>
      </x:c>
      <x:c r="F42" s="75" t="str">
        <x:v>Loss $</x:v>
      </x:c>
      <x:c r="H42" s="67" t="str">
        <x:v>Important: this is a plotting template, not a final derived curve. The v0.3 default uses a simple thresholded/sigmoid placeholder so we can test the reporting views. The next source pass must replace D50/k/shape with evidence, resolve module-BOM f, and decide whether scalar EAL is allowed or whether spread/states are required.</x:v>
      </x:c>
      <x:c r="I42" s="67"/>
      <x:c r="J42" s="67"/>
      <x:c r="K42" s="67"/>
      <x:c r="L42" s="67"/>
      <x:c r="M42" s="67"/>
      <x:c r="N42" s="67"/>
      <x:c r="O42" s="67"/>
    </x:row>
    <x:row r="43">
      <x:c r="A43" t="n">
        <x:v>25</x:v>
      </x:c>
      <x:c r="B43" s="30" t="n">
        <x:f>MAX(0,MIN($G$10,$G$10/(1+EXP(-$G$9*(A43-$G$8)))))</x:f>
        <x:v>0.0044962731609411825</x:v>
      </x:c>
      <x:c r="C43" s="30" t="n">
        <x:f>B43*$B$11</x:f>
        <x:v>0.0035970185287529464</x:v>
      </x:c>
      <x:c r="D43" s="30" t="n">
        <x:f>B43*$B$10*$B$11*$B$12</x:f>
        <x:v>0.001193336004787892</x:v>
      </x:c>
      <x:c r="E43" s="30" t="n">
        <x:f>D43*$B$9</x:f>
        <x:v>0.0009352725147120058</x:v>
      </x:c>
      <x:c r="F43" s="28" t="n">
        <x:f>E43*$B$7</x:f>
        <x:v>104750.52164774465</x:v>
      </x:c>
      <x:c r="H43" s="67"/>
      <x:c r="I43" s="67"/>
      <x:c r="J43" s="67"/>
      <x:c r="K43" s="67"/>
      <x:c r="L43" s="67"/>
      <x:c r="M43" s="67"/>
      <x:c r="N43" s="67"/>
      <x:c r="O43" s="67"/>
    </x:row>
    <x:row r="44">
      <x:c r="A44" t="n">
        <x:v>35</x:v>
      </x:c>
      <x:c r="B44" s="30" t="n">
        <x:f>MAX(0,MIN($G$10,$G$10/(1+EXP(-$G$9*(A44-$G$8)))))</x:f>
        <x:v>0.026596993576865863</x:v>
      </x:c>
      <x:c r="C44" s="30" t="n">
        <x:f>B44*$B$11</x:f>
        <x:v>0.021277594861492694</x:v>
      </x:c>
      <x:c r="D44" s="30" t="n">
        <x:f>B44*$B$10*$B$11*$B$12</x:f>
        <x:v>0.0070589906169629905</x:v>
      </x:c>
      <x:c r="E44" s="30" t="n">
        <x:f>D44*$B$9</x:f>
        <x:v>0.005532456809454021</x:v>
      </x:c>
      <x:c r="F44" s="28" t="n">
        <x:f>E44*$B$7</x:f>
        <x:v>619635.1626588503</x:v>
      </x:c>
      <x:c r="H44" s="67"/>
      <x:c r="I44" s="67"/>
      <x:c r="J44" s="67"/>
      <x:c r="K44" s="67"/>
      <x:c r="L44" s="67"/>
      <x:c r="M44" s="67"/>
      <x:c r="N44" s="67"/>
      <x:c r="O44" s="67"/>
    </x:row>
    <x:row r="45">
      <x:c r="A45" t="n">
        <x:v>44</x:v>
      </x:c>
      <x:c r="B45" s="30" t="n">
        <x:f>MAX(0,MIN($G$10,$G$10/(1+EXP(-$G$9*(A45-$G$8)))))</x:f>
        <x:v>0.12131883789173686</x:v>
      </x:c>
      <x:c r="C45" s="30" t="n">
        <x:f>B45*$B$11</x:f>
        <x:v>0.0970550703133895</x:v>
      </x:c>
      <x:c r="D45" s="30" t="n">
        <x:f>B45*$B$10*$B$11*$B$12</x:f>
        <x:v>0.03219869703933431</x:v>
      </x:c>
      <x:c r="E45" s="30" t="n">
        <x:f>D45*$B$9</x:f>
        <x:v>0.02523560525250463</x:v>
      </x:c>
      <x:c r="F45" s="28" t="n">
        <x:f>E45*$B$7</x:f>
        <x:v>2826387.7882805187</x:v>
      </x:c>
      <x:c r="H45" s="67"/>
      <x:c r="I45" s="67"/>
      <x:c r="J45" s="67"/>
      <x:c r="K45" s="67"/>
      <x:c r="L45" s="67"/>
      <x:c r="M45" s="67"/>
      <x:c r="N45" s="67"/>
      <x:c r="O45" s="67"/>
    </x:row>
    <x:row r="46">
      <x:c r="A46" t="n">
        <x:v>55</x:v>
      </x:c>
      <x:c r="B46" s="30" t="n">
        <x:f>MAX(0,MIN($G$10,$G$10/(1+EXP(-$G$9*(A46-$G$8)))))</x:f>
        <x:v>0.5</x:v>
      </x:c>
      <x:c r="C46" s="30" t="n">
        <x:f>B46*$B$11</x:f>
        <x:v>0.4</x:v>
      </x:c>
      <x:c r="D46" s="30" t="n">
        <x:f>B46*$B$10*$B$11*$B$12</x:f>
        <x:v>0.13270279207614877</x:v>
      </x:c>
      <x:c r="E46" s="30" t="n">
        <x:f>D46*$B$9</x:f>
        <x:v>0.10400530408568746</x:v>
      </x:c>
      <x:c r="F46" s="28" t="n">
        <x:f>E46*$B$7</x:f>
        <x:v>11648594.057596996</x:v>
      </x:c>
      <x:c r="H46" s="67"/>
      <x:c r="I46" s="67"/>
      <x:c r="J46" s="67"/>
      <x:c r="K46" s="67"/>
      <x:c r="L46" s="67"/>
      <x:c r="M46" s="67"/>
      <x:c r="N46" s="67"/>
      <x:c r="O46" s="67"/>
    </x:row>
    <x:row r="47">
      <x:c r="A47" t="n">
        <x:v>65</x:v>
      </x:c>
      <x:c r="B47" s="30" t="n">
        <x:f>MAX(0,MIN($G$10,$G$10/(1+EXP(-$G$9*(A47-$G$8)))))</x:f>
        <x:v>0.8581489350995123</x:v>
      </x:c>
      <x:c r="C47" s="30" t="n">
        <x:f>B47*$B$11</x:f>
        <x:v>0.6865191480796099</x:v>
      </x:c>
      <x:c r="D47" s="30" t="n">
        <x:f>B47*$B$10*$B$11*$B$12</x:f>
        <x:v>0.22775751940975814</x:v>
      </x:c>
      <x:c r="E47" s="30" t="n">
        <x:f>D47*$B$9</x:f>
        <x:v>0.1785040818916673</x:v>
      </x:c>
      <x:c r="F47" s="28" t="n">
        <x:f>E47*$B$7</x:f>
        <x:v>19992457.171866737</x:v>
      </x:c>
      <x:c r="H47" s="67"/>
      <x:c r="I47" s="67"/>
      <x:c r="J47" s="67"/>
      <x:c r="K47" s="67"/>
      <x:c r="L47" s="67"/>
      <x:c r="M47" s="67"/>
      <x:c r="N47" s="67"/>
      <x:c r="O47" s="67"/>
    </x:row>
    <x:row r="48">
      <x:c r="A48" t="n">
        <x:v>76</x:v>
      </x:c>
      <x:c r="B48" s="30" t="n">
        <x:f>MAX(0,MIN($G$10,$G$10/(1+EXP(-$G$9*(A48-$G$8)))))</x:f>
        <x:v>0.9776865613009676</x:v>
      </x:c>
      <x:c r="C48" s="30" t="n">
        <x:f>B48*$B$11</x:f>
        <x:v>0.7821492490407742</x:v>
      </x:c>
      <x:c r="D48" s="30" t="n">
        <x:f>B48*$B$10*$B$11*$B$12</x:f>
        <x:v>0.2594834729199344</x:v>
      </x:c>
      <x:c r="E48" s="30" t="n">
        <x:f>D48*$B$9</x:f>
        <x:v>0.20336917621719452</x:v>
      </x:c>
      <x:c r="F48" s="28" t="n">
        <x:f>E48*$B$7</x:f>
        <x:v>22777347.736325786</x:v>
      </x:c>
      <x:c r="H48" s="67"/>
      <x:c r="I48" s="67"/>
      <x:c r="J48" s="67"/>
      <x:c r="K48" s="67"/>
      <x:c r="L48" s="67"/>
      <x:c r="M48" s="67"/>
      <x:c r="N48" s="67"/>
      <x:c r="O48" s="67"/>
    </x:row>
    <x:row r="49">
      <x:c r="A49" t="n">
        <x:v>90</x:v>
      </x:c>
      <x:c r="B49" s="30" t="n">
        <x:f>MAX(0,MIN($G$10,$G$10/(1+EXP(-$G$9*(A49-$G$8)))))</x:f>
        <x:v>0.9981670610575072</x:v>
      </x:c>
      <x:c r="C49" s="30" t="n">
        <x:f>B49*$B$11</x:f>
        <x:v>0.7985336488460058</x:v>
      </x:c>
      <x:c r="D49" s="30" t="n">
        <x:f>B49*$B$10*$B$11*$B$12</x:f>
        <x:v>0.26491911192154977</x:v>
      </x:c>
      <x:c r="E49" s="30" t="n">
        <x:f>D49*$B$9</x:f>
        <x:v>0.20762933742720602</x:v>
      </x:c>
      <x:c r="F49" s="28" t="n">
        <x:f>E49*$B$7</x:f>
        <x:v>23254485.791847073</x:v>
      </x:c>
      <x:c r="H49" s="67"/>
      <x:c r="I49" s="67"/>
      <x:c r="J49" s="67"/>
      <x:c r="K49" s="67"/>
      <x:c r="L49" s="67"/>
      <x:c r="M49" s="67"/>
      <x:c r="N49" s="67"/>
      <x:c r="O49" s="67"/>
    </x:row>
  </x:sheetData>
  <x:mergeCells>
    <x:mergeCell ref="A1:O1"/>
    <x:mergeCell ref="A2:O3"/>
    <x:mergeCell ref="K6:O14"/>
    <x:mergeCell ref="H42:O49"/>
  </x:mergeCells>
  <x:pageMargins left="0.7" right="0.7" top="0.75" bottom="0.75" header="0.3" footer="0.3"/>
  <x:drawing xmlns:r="http://schemas.openxmlformats.org/officeDocument/2006/relationships" r:id="R62a7a3d5ead14e7e"/>
</x:worksheet>
</file>

<file path=xl/worksheets/sheet2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32" hidden="0" customWidth="1"/>
  </x:cols>
  <x:sheetData>
    <x:row r="1">
      <x:c r="A1" s="88" t="str">
        <x:v>Hail × Solar curve data — MESH-equivalent diameter to failure-unit/subsystem/TIV loss</x:v>
      </x:c>
      <x:c r="B1" s="88" t="str"/>
      <x:c r="C1" s="88" t="str"/>
      <x:c r="D1" s="88" t="str"/>
      <x:c r="E1" s="88" t="str"/>
      <x:c r="F1" s="88" t="str"/>
      <x:c r="G1" s="88" t="str"/>
      <x:c r="H1" s="88" t="str"/>
      <x:c r="I1" s="88" t="str"/>
      <x:c r="J1" s="88" t="str"/>
      <x:c r="K1" s="24"/>
      <x:c r="L1" s="24"/>
      <x:c r="M1" s="24"/>
      <x:c r="N1" s="24"/>
      <x:c r="O1" s="24"/>
    </x:row>
    <x:row r="2">
      <x:c r="A2" s="67" t="str">
        <x:v>This table is formula-driven from Hail_Solar_Curve_Plot assumptions. It is a plotting scaffold, not a sourced damage curve.</x:v>
      </x:c>
      <x:c r="B2" s="67" t="str"/>
      <x:c r="C2" s="67" t="str"/>
      <x:c r="D2" s="67" t="str"/>
      <x:c r="E2" s="67" t="str"/>
      <x:c r="F2" s="67" t="str"/>
      <x:c r="G2" s="67" t="str"/>
      <x:c r="H2" s="67" t="str"/>
      <x:c r="I2" s="67" t="str"/>
      <x:c r="J2" s="67" t="str"/>
    </x:row>
    <x:row r="3">
      <x:c r="A3" s="67" t="str">
        <x:v>Use the source-backed curve-derivation pass to replace D50/k/shape and to populate Evidence_Log before production use.</x:v>
      </x:c>
      <x:c r="B3" s="67" t="str"/>
      <x:c r="C3" s="67" t="str"/>
      <x:c r="D3" s="67" t="str"/>
      <x:c r="E3" s="67" t="str"/>
      <x:c r="F3" s="67" t="str"/>
      <x:c r="G3" s="67" t="str"/>
      <x:c r="H3" s="67" t="str"/>
      <x:c r="I3" s="67" t="str"/>
      <x:c r="J3" s="67" t="str"/>
    </x:row>
    <x:row r="5">
      <x:c r="A5" s="85" t="str">
        <x:v>MESH_diameter_mm</x:v>
      </x:c>
      <x:c r="B5" s="85" t="str">
        <x:v>MESH_diameter_in</x:v>
      </x:c>
      <x:c r="C5" s="85" t="str">
        <x:v>DR_exposed_module</x:v>
      </x:c>
      <x:c r="D5" s="85" t="str">
        <x:v>loss_pct_PV_ARRAY</x:v>
      </x:c>
      <x:c r="E5" s="85" t="str">
        <x:v>loss_pct_physical_base</x:v>
      </x:c>
      <x:c r="F5" s="85" t="str">
        <x:v>loss_pct_TIV_installed</x:v>
      </x:c>
      <x:c r="G5" s="85" t="str">
        <x:v>loss_usd</x:v>
      </x:c>
      <x:c r="H5" s="85" t="str">
        <x:v>cap_usd</x:v>
      </x:c>
      <x:c r="I5" s="85" t="str">
        <x:v>curve_status</x:v>
      </x:c>
      <x:c r="J5" s="85" t="str">
        <x:v>notes</x:v>
      </x:c>
    </x:row>
    <x:row r="6">
      <x:c r="A6" s="86" t="n">
        <x:f>0</x:f>
        <x:v>0</x:v>
      </x:c>
      <x:c r="B6" s="87" t="n">
        <x:f>A6/25.4</x:f>
        <x:v>0</x:v>
      </x:c>
      <x:c r="C6" s="33" t="n">
        <x:f>MAX(0,MIN('Hail_Solar_Curve_Plot'!$G$10,'Hail_Solar_Curve_Plot'!$G$10/(1+EXP(-'Hail_Solar_Curve_Plot'!$G$9*(A6-'Hail_Solar_Curve_Plot'!$G$8)))))</x:f>
        <x:v>0.000050172164683764205</x:v>
      </x:c>
      <x:c r="D6" s="33" t="n">
        <x:f>C6*'Hail_Solar_Curve_Plot'!$B$11</x:f>
        <x:v>0.000040137731747011365</x:v>
      </x:c>
      <x:c r="E6" s="33" t="n">
        <x:f>C6*'Hail_Solar_Curve_Plot'!$B$10*'Hail_Solar_Curve_Plot'!$B$11*'Hail_Solar_Curve_Plot'!$B$12</x:f>
        <x:v>0.000013315972676079712</x:v>
      </x:c>
      <x:c r="F6" s="33" t="n">
        <x:f>E6*'Hail_Solar_Curve_Plot'!$B$9</x:f>
        <x:v>0.000010436342489144172</x:v>
      </x:c>
      <x:c r="G6" s="32" t="n">
        <x:f>F6*'Hail_Solar_Curve_Plot'!$B$7</x:f>
        <x:v>1168.8703587841471</x:v>
      </x:c>
      <x:c r="H6" s="32" t="n">
        <x:f>'Hail_Solar_Curve_Plot'!$B$13</x:f>
        <x:v>23297188.115193993</x:v>
      </x:c>
      <x:c r="I6" s="24" t="str">
        <x:f>'Hail_Solar_Curve_Plot'!$G$13</x:f>
        <x:v>PLACEHOLDER</x:v>
      </x:c>
      <x:c r="J6" s="24" t="str">
        <x:v>placeholder; replace after evidence pass</x:v>
      </x:c>
    </x:row>
    <x:row r="7">
      <x:c r="A7" s="86" t="n">
        <x:f>A6+'Hail_Solar_Curve_Plot'!$G$11</x:f>
        <x:v>5</x:v>
      </x:c>
      <x:c r="B7" s="87" t="n">
        <x:f>A7/25.4</x:f>
        <x:v>0.1968503937007874</x:v>
      </x:c>
      <x:c r="C7" s="33" t="n">
        <x:f>MAX(0,MIN('Hail_Solar_Curve_Plot'!$G$10,'Hail_Solar_Curve_Plot'!$G$10/(1+EXP(-'Hail_Solar_Curve_Plot'!$G$9*(A7-'Hail_Solar_Curve_Plot'!$G$8)))))</x:f>
        <x:v>0.00012339457598623172</x:v>
      </x:c>
      <x:c r="D7" s="33" t="n">
        <x:f>C7*'Hail_Solar_Curve_Plot'!$B$11</x:f>
        <x:v>0.00009871566078898538</x:v>
      </x:c>
      <x:c r="E7" s="33" t="n">
        <x:f>C7*'Hail_Solar_Curve_Plot'!$B$10*'Hail_Solar_Curve_Plot'!$B$11*'Hail_Solar_Curve_Plot'!$B$12</x:f>
        <x:v>0.0000327496095208509</x:v>
      </x:c>
      <x:c r="F7" s="33" t="n">
        <x:f>E7*'Hail_Solar_Curve_Plot'!$B$9</x:f>
        <x:v>0.000025667380795944998</x:v>
      </x:c>
      <x:c r="G7" s="32" t="n">
        <x:f>F7*'Hail_Solar_Curve_Plot'!$B$7</x:f>
        <x:v>2874.74664914584</x:v>
      </x:c>
      <x:c r="H7" s="32" t="n">
        <x:f>'Hail_Solar_Curve_Plot'!$B$13</x:f>
        <x:v>23297188.115193993</x:v>
      </x:c>
      <x:c r="I7" s="24" t="str">
        <x:f>'Hail_Solar_Curve_Plot'!$G$13</x:f>
        <x:v>PLACEHOLDER</x:v>
      </x:c>
      <x:c r="J7" s="24" t="str">
        <x:v>placeholder; replace after evidence pass</x:v>
      </x:c>
    </x:row>
    <x:row r="8">
      <x:c r="A8" s="86" t="n">
        <x:f>A7+'Hail_Solar_Curve_Plot'!$G$11</x:f>
        <x:v>10</x:v>
      </x:c>
      <x:c r="B8" s="87" t="n">
        <x:f>A8/25.4</x:f>
        <x:v>0.3937007874015748</x:v>
      </x:c>
      <x:c r="C8" s="33" t="n">
        <x:f>MAX(0,MIN('Hail_Solar_Curve_Plot'!$G$10,'Hail_Solar_Curve_Plot'!$G$10/(1+EXP(-'Hail_Solar_Curve_Plot'!$G$9*(A8-'Hail_Solar_Curve_Plot'!$G$8)))))</x:f>
        <x:v>0.00030344703002891917</x:v>
      </x:c>
      <x:c r="D8" s="33" t="n">
        <x:f>C8*'Hail_Solar_Curve_Plot'!$B$11</x:f>
        <x:v>0.00024275762402313535</x:v>
      </x:c>
      <x:c r="E8" s="33" t="n">
        <x:f>C8*'Hail_Solar_Curve_Plot'!$B$10*'Hail_Solar_Curve_Plot'!$B$11*'Hail_Solar_Curve_Plot'!$B$12</x:f>
        <x:v>0.00008053653626410507</x:v>
      </x:c>
      <x:c r="F8" s="33" t="n">
        <x:f>E8*'Hail_Solar_Curve_Plot'!$B$9</x:f>
        <x:v>0.00006312020126411294</x:v>
      </x:c>
      <x:c r="G8" s="32" t="n">
        <x:f>F8*'Hail_Solar_Curve_Plot'!$B$7</x:f>
        <x:v>7069.4625415806495</x:v>
      </x:c>
      <x:c r="H8" s="32" t="n">
        <x:f>'Hail_Solar_Curve_Plot'!$B$13</x:f>
        <x:v>23297188.115193993</x:v>
      </x:c>
      <x:c r="I8" s="24" t="str">
        <x:f>'Hail_Solar_Curve_Plot'!$G$13</x:f>
        <x:v>PLACEHOLDER</x:v>
      </x:c>
      <x:c r="J8" s="24" t="str">
        <x:v>placeholder; replace after evidence pass</x:v>
      </x:c>
    </x:row>
    <x:row r="9">
      <x:c r="A9" s="86" t="n">
        <x:f>A8+'Hail_Solar_Curve_Plot'!$G$11</x:f>
        <x:v>15</x:v>
      </x:c>
      <x:c r="B9" s="87" t="n">
        <x:f>A9/25.4</x:f>
        <x:v>0.5905511811023623</x:v>
      </x:c>
      <x:c r="C9" s="33" t="n">
        <x:f>MAX(0,MIN('Hail_Solar_Curve_Plot'!$G$10,'Hail_Solar_Curve_Plot'!$G$10/(1+EXP(-'Hail_Solar_Curve_Plot'!$G$9*(A9-'Hail_Solar_Curve_Plot'!$G$8)))))</x:f>
        <x:v>0.0007460288338366976</x:v>
      </x:c>
      <x:c r="D9" s="33" t="n">
        <x:f>C9*'Hail_Solar_Curve_Plot'!$B$11</x:f>
        <x:v>0.0005968230670693581</x:v>
      </x:c>
      <x:c r="E9" s="33" t="n">
        <x:f>C9*'Hail_Solar_Curve_Plot'!$B$10*'Hail_Solar_Curve_Plot'!$B$11*'Hail_Solar_Curve_Plot'!$B$12</x:f>
        <x:v>0.00019800021843888605</x:v>
      </x:c>
      <x:c r="F9" s="33" t="n">
        <x:f>E9*'Hail_Solar_Curve_Plot'!$B$9</x:f>
        <x:v>0.00015518191143975307</x:v>
      </x:c>
      <x:c r="G9" s="32" t="n">
        <x:f>F9*'Hail_Solar_Curve_Plot'!$B$7</x:f>
        <x:v>17380.374081252343</x:v>
      </x:c>
      <x:c r="H9" s="32" t="n">
        <x:f>'Hail_Solar_Curve_Plot'!$B$13</x:f>
        <x:v>23297188.115193993</x:v>
      </x:c>
      <x:c r="I9" s="24" t="str">
        <x:f>'Hail_Solar_Curve_Plot'!$G$13</x:f>
        <x:v>PLACEHOLDER</x:v>
      </x:c>
      <x:c r="J9" s="24" t="str">
        <x:v>placeholder; replace after evidence pass</x:v>
      </x:c>
    </x:row>
    <x:row r="10">
      <x:c r="A10" s="86" t="n">
        <x:f>A9+'Hail_Solar_Curve_Plot'!$G$11</x:f>
        <x:v>20</x:v>
      </x:c>
      <x:c r="B10" s="87" t="n">
        <x:f>A10/25.4</x:f>
        <x:v>0.7874015748031497</x:v>
      </x:c>
      <x:c r="C10" s="33" t="n">
        <x:f>MAX(0,MIN('Hail_Solar_Curve_Plot'!$G$10,'Hail_Solar_Curve_Plot'!$G$10/(1+EXP(-'Hail_Solar_Curve_Plot'!$G$9*(A10-'Hail_Solar_Curve_Plot'!$G$8)))))</x:f>
        <x:v>0.0018329389424928053</x:v>
      </x:c>
      <x:c r="D10" s="33" t="n">
        <x:f>C10*'Hail_Solar_Curve_Plot'!$B$11</x:f>
        <x:v>0.0014663511539942443</x:v>
      </x:c>
      <x:c r="E10" s="33" t="n">
        <x:f>C10*'Hail_Solar_Curve_Plot'!$B$10*'Hail_Solar_Curve_Plot'!$B$11*'Hail_Solar_Curve_Plot'!$B$12</x:f>
        <x:v>0.0004864722307477975</x:v>
      </x:c>
      <x:c r="F10" s="33" t="n">
        <x:f>E10*'Hail_Solar_Curve_Plot'!$B$9</x:f>
        <x:v>0.0003812707441689252</x:v>
      </x:c>
      <x:c r="G10" s="32" t="n">
        <x:f>F10*'Hail_Solar_Curve_Plot'!$B$7</x:f>
        <x:v>42702.32334691963</x:v>
      </x:c>
      <x:c r="H10" s="32" t="n">
        <x:f>'Hail_Solar_Curve_Plot'!$B$13</x:f>
        <x:v>23297188.115193993</x:v>
      </x:c>
      <x:c r="I10" s="24" t="str">
        <x:f>'Hail_Solar_Curve_Plot'!$G$13</x:f>
        <x:v>PLACEHOLDER</x:v>
      </x:c>
      <x:c r="J10" s="24" t="str">
        <x:v>placeholder; replace after evidence pass</x:v>
      </x:c>
    </x:row>
    <x:row r="11">
      <x:c r="A11" s="86" t="n">
        <x:f>A10+'Hail_Solar_Curve_Plot'!$G$11</x:f>
        <x:v>25</x:v>
      </x:c>
      <x:c r="B11" s="87" t="n">
        <x:f>A11/25.4</x:f>
        <x:v>0.984251968503937</x:v>
      </x:c>
      <x:c r="C11" s="33" t="n">
        <x:f>MAX(0,MIN('Hail_Solar_Curve_Plot'!$G$10,'Hail_Solar_Curve_Plot'!$G$10/(1+EXP(-'Hail_Solar_Curve_Plot'!$G$9*(A11-'Hail_Solar_Curve_Plot'!$G$8)))))</x:f>
        <x:v>0.0044962731609411825</x:v>
      </x:c>
      <x:c r="D11" s="33" t="n">
        <x:f>C11*'Hail_Solar_Curve_Plot'!$B$11</x:f>
        <x:v>0.0035970185287529464</x:v>
      </x:c>
      <x:c r="E11" s="33" t="n">
        <x:f>C11*'Hail_Solar_Curve_Plot'!$B$10*'Hail_Solar_Curve_Plot'!$B$11*'Hail_Solar_Curve_Plot'!$B$12</x:f>
        <x:v>0.001193336004787892</x:v>
      </x:c>
      <x:c r="F11" s="33" t="n">
        <x:f>E11*'Hail_Solar_Curve_Plot'!$B$9</x:f>
        <x:v>0.0009352725147120058</x:v>
      </x:c>
      <x:c r="G11" s="32" t="n">
        <x:f>F11*'Hail_Solar_Curve_Plot'!$B$7</x:f>
        <x:v>104750.52164774465</x:v>
      </x:c>
      <x:c r="H11" s="32" t="n">
        <x:f>'Hail_Solar_Curve_Plot'!$B$13</x:f>
        <x:v>23297188.115193993</x:v>
      </x:c>
      <x:c r="I11" s="24" t="str">
        <x:f>'Hail_Solar_Curve_Plot'!$G$13</x:f>
        <x:v>PLACEHOLDER</x:v>
      </x:c>
      <x:c r="J11" s="24" t="str">
        <x:v>placeholder; replace after evidence pass</x:v>
      </x:c>
    </x:row>
    <x:row r="12">
      <x:c r="A12" s="86" t="n">
        <x:f>A11+'Hail_Solar_Curve_Plot'!$G$11</x:f>
        <x:v>30</x:v>
      </x:c>
      <x:c r="B12" s="87" t="n">
        <x:f>A12/25.4</x:f>
        <x:v>1.1811023622047245</x:v>
      </x:c>
      <x:c r="C12" s="33" t="n">
        <x:f>MAX(0,MIN('Hail_Solar_Curve_Plot'!$G$10,'Hail_Solar_Curve_Plot'!$G$10/(1+EXP(-'Hail_Solar_Curve_Plot'!$G$9*(A12-'Hail_Solar_Curve_Plot'!$G$8)))))</x:f>
        <x:v>0.01098694263059318</x:v>
      </x:c>
      <x:c r="D12" s="33" t="n">
        <x:f>C12*'Hail_Solar_Curve_Plot'!$B$11</x:f>
        <x:v>0.008789554104474543</x:v>
      </x:c>
      <x:c r="E12" s="33" t="n">
        <x:f>C12*'Hail_Solar_Curve_Plot'!$B$10*'Hail_Solar_Curve_Plot'!$B$11*'Hail_Solar_Curve_Plot'!$B$12</x:f>
        <x:v>0.0029159959269203636</x:v>
      </x:c>
      <x:c r="F12" s="33" t="n">
        <x:f>E12*'Hail_Solar_Curve_Plot'!$B$9</x:f>
        <x:v>0.0022854006185336934</x:v>
      </x:c>
      <x:c r="G12" s="32" t="n">
        <x:f>F12*'Hail_Solar_Curve_Plot'!$B$7</x:f>
        <x:v>255964.86927577367</x:v>
      </x:c>
      <x:c r="H12" s="32" t="n">
        <x:f>'Hail_Solar_Curve_Plot'!$B$13</x:f>
        <x:v>23297188.115193993</x:v>
      </x:c>
      <x:c r="I12" s="24" t="str">
        <x:f>'Hail_Solar_Curve_Plot'!$G$13</x:f>
        <x:v>PLACEHOLDER</x:v>
      </x:c>
      <x:c r="J12" s="24" t="str">
        <x:v>placeholder; replace after evidence pass</x:v>
      </x:c>
    </x:row>
    <x:row r="13">
      <x:c r="A13" s="86" t="n">
        <x:f>A12+'Hail_Solar_Curve_Plot'!$G$11</x:f>
        <x:v>35</x:v>
      </x:c>
      <x:c r="B13" s="87" t="n">
        <x:f>A13/25.4</x:f>
        <x:v>1.3779527559055118</x:v>
      </x:c>
      <x:c r="C13" s="33" t="n">
        <x:f>MAX(0,MIN('Hail_Solar_Curve_Plot'!$G$10,'Hail_Solar_Curve_Plot'!$G$10/(1+EXP(-'Hail_Solar_Curve_Plot'!$G$9*(A13-'Hail_Solar_Curve_Plot'!$G$8)))))</x:f>
        <x:v>0.026596993576865863</x:v>
      </x:c>
      <x:c r="D13" s="33" t="n">
        <x:f>C13*'Hail_Solar_Curve_Plot'!$B$11</x:f>
        <x:v>0.021277594861492694</x:v>
      </x:c>
      <x:c r="E13" s="33" t="n">
        <x:f>C13*'Hail_Solar_Curve_Plot'!$B$10*'Hail_Solar_Curve_Plot'!$B$11*'Hail_Solar_Curve_Plot'!$B$12</x:f>
        <x:v>0.0070589906169629905</x:v>
      </x:c>
      <x:c r="F13" s="33" t="n">
        <x:f>E13*'Hail_Solar_Curve_Plot'!$B$9</x:f>
        <x:v>0.005532456809454021</x:v>
      </x:c>
      <x:c r="G13" s="32" t="n">
        <x:f>F13*'Hail_Solar_Curve_Plot'!$B$7</x:f>
        <x:v>619635.1626588503</x:v>
      </x:c>
      <x:c r="H13" s="32" t="n">
        <x:f>'Hail_Solar_Curve_Plot'!$B$13</x:f>
        <x:v>23297188.115193993</x:v>
      </x:c>
      <x:c r="I13" s="24" t="str">
        <x:f>'Hail_Solar_Curve_Plot'!$G$13</x:f>
        <x:v>PLACEHOLDER</x:v>
      </x:c>
      <x:c r="J13" s="24" t="str">
        <x:v>placeholder; replace after evidence pass</x:v>
      </x:c>
    </x:row>
    <x:row r="14">
      <x:c r="A14" s="86" t="n">
        <x:f>A13+'Hail_Solar_Curve_Plot'!$G$11</x:f>
        <x:v>40</x:v>
      </x:c>
      <x:c r="B14" s="87" t="n">
        <x:f>A14/25.4</x:f>
        <x:v>1.5748031496062993</x:v>
      </x:c>
      <x:c r="C14" s="33" t="n">
        <x:f>MAX(0,MIN('Hail_Solar_Curve_Plot'!$G$10,'Hail_Solar_Curve_Plot'!$G$10/(1+EXP(-'Hail_Solar_Curve_Plot'!$G$9*(A14-'Hail_Solar_Curve_Plot'!$G$8)))))</x:f>
        <x:v>0.06297335605699651</x:v>
      </x:c>
      <x:c r="D14" s="33" t="n">
        <x:f>C14*'Hail_Solar_Curve_Plot'!$B$11</x:f>
        <x:v>0.05037868484559721</x:v>
      </x:c>
      <x:c r="E14" s="33" t="n">
        <x:f>C14*'Hail_Solar_Curve_Plot'!$B$10*'Hail_Solar_Curve_Plot'!$B$11*'Hail_Solar_Curve_Plot'!$B$12</x:f>
        <x:v>0.016713480350337786</x:v>
      </x:c>
      <x:c r="F14" s="33" t="n">
        <x:f>E14*'Hail_Solar_Curve_Plot'!$B$9</x:f>
        <x:v>0.013099126092008383</x:v>
      </x:c>
      <x:c r="G14" s="32" t="n">
        <x:f>F14*'Hail_Solar_Curve_Plot'!$B$7</x:f>
        <x:v>1467102.122304939</x:v>
      </x:c>
      <x:c r="H14" s="32" t="n">
        <x:f>'Hail_Solar_Curve_Plot'!$B$13</x:f>
        <x:v>23297188.115193993</x:v>
      </x:c>
      <x:c r="I14" s="24" t="str">
        <x:f>'Hail_Solar_Curve_Plot'!$G$13</x:f>
        <x:v>PLACEHOLDER</x:v>
      </x:c>
      <x:c r="J14" s="24" t="str">
        <x:v>placeholder; replace after evidence pass</x:v>
      </x:c>
    </x:row>
    <x:row r="15">
      <x:c r="A15" s="86" t="n">
        <x:f>A14+'Hail_Solar_Curve_Plot'!$G$11</x:f>
        <x:v>45</x:v>
      </x:c>
      <x:c r="B15" s="87" t="n">
        <x:f>A15/25.4</x:f>
        <x:v>1.7716535433070868</x:v>
      </x:c>
      <x:c r="C15" s="33" t="n">
        <x:f>MAX(0,MIN('Hail_Solar_Curve_Plot'!$G$10,'Hail_Solar_Curve_Plot'!$G$10/(1+EXP(-'Hail_Solar_Curve_Plot'!$G$9*(A15-'Hail_Solar_Curve_Plot'!$G$8)))))</x:f>
        <x:v>0.14185106490048782</x:v>
      </x:c>
      <x:c r="D15" s="33" t="n">
        <x:f>C15*'Hail_Solar_Curve_Plot'!$B$11</x:f>
        <x:v>0.11348085192039026</x:v>
      </x:c>
      <x:c r="E15" s="33" t="n">
        <x:f>C15*'Hail_Solar_Curve_Plot'!$B$10*'Hail_Solar_Curve_Plot'!$B$11*'Hail_Solar_Curve_Plot'!$B$12</x:f>
        <x:v>0.03764806474253944</x:v>
      </x:c>
      <x:c r="F15" s="33" t="n">
        <x:f>E15*'Hail_Solar_Curve_Plot'!$B$9</x:f>
        <x:v>0.029506526279707648</x:v>
      </x:c>
      <x:c r="G15" s="32" t="n">
        <x:f>F15*'Hail_Solar_Curve_Plot'!$B$7</x:f>
        <x:v>3304730.9433272565</x:v>
      </x:c>
      <x:c r="H15" s="32" t="n">
        <x:f>'Hail_Solar_Curve_Plot'!$B$13</x:f>
        <x:v>23297188.115193993</x:v>
      </x:c>
      <x:c r="I15" s="24" t="str">
        <x:f>'Hail_Solar_Curve_Plot'!$G$13</x:f>
        <x:v>PLACEHOLDER</x:v>
      </x:c>
      <x:c r="J15" s="24" t="str">
        <x:v>placeholder; replace after evidence pass</x:v>
      </x:c>
    </x:row>
    <x:row r="16">
      <x:c r="A16" s="86" t="n">
        <x:f>A15+'Hail_Solar_Curve_Plot'!$G$11</x:f>
        <x:v>50</x:v>
      </x:c>
      <x:c r="B16" s="87" t="n">
        <x:f>A16/25.4</x:f>
        <x:v>1.968503937007874</x:v>
      </x:c>
      <x:c r="C16" s="33" t="n">
        <x:f>MAX(0,MIN('Hail_Solar_Curve_Plot'!$G$10,'Hail_Solar_Curve_Plot'!$G$10/(1+EXP(-'Hail_Solar_Curve_Plot'!$G$9*(A16-'Hail_Solar_Curve_Plot'!$G$8)))))</x:f>
        <x:v>0.28905049737499605</x:v>
      </x:c>
      <x:c r="D16" s="33" t="n">
        <x:f>C16*'Hail_Solar_Curve_Plot'!$B$11</x:f>
        <x:v>0.23124039789999684</x:v>
      </x:c>
      <x:c r="E16" s="33" t="n">
        <x:f>C16*'Hail_Solar_Curve_Plot'!$B$10*'Hail_Solar_Curve_Plot'!$B$11*'Hail_Solar_Curve_Plot'!$B$12</x:f>
        <x:v>0.07671561610532297</x:v>
      </x:c>
      <x:c r="F16" s="33" t="n">
        <x:f>E16*'Hail_Solar_Curve_Plot'!$B$9</x:f>
        <x:v>0.06012556975121134</x:v>
      </x:c>
      <x:c r="G16" s="32" t="n">
        <x:f>F16*'Hail_Solar_Curve_Plot'!$B$7</x:f>
        <x:v>6734063.81213567</x:v>
      </x:c>
      <x:c r="H16" s="32" t="n">
        <x:f>'Hail_Solar_Curve_Plot'!$B$13</x:f>
        <x:v>23297188.115193993</x:v>
      </x:c>
      <x:c r="I16" s="24" t="str">
        <x:f>'Hail_Solar_Curve_Plot'!$G$13</x:f>
        <x:v>PLACEHOLDER</x:v>
      </x:c>
      <x:c r="J16" s="24" t="str">
        <x:v>placeholder; replace after evidence pass</x:v>
      </x:c>
    </x:row>
    <x:row r="17">
      <x:c r="A17" s="86" t="n">
        <x:f>A16+'Hail_Solar_Curve_Plot'!$G$11</x:f>
        <x:v>55</x:v>
      </x:c>
      <x:c r="B17" s="87" t="n">
        <x:f>A17/25.4</x:f>
        <x:v>2.1653543307086616</x:v>
      </x:c>
      <x:c r="C17" s="33" t="n">
        <x:f>MAX(0,MIN('Hail_Solar_Curve_Plot'!$G$10,'Hail_Solar_Curve_Plot'!$G$10/(1+EXP(-'Hail_Solar_Curve_Plot'!$G$9*(A17-'Hail_Solar_Curve_Plot'!$G$8)))))</x:f>
        <x:v>0.5</x:v>
      </x:c>
      <x:c r="D17" s="33" t="n">
        <x:f>C17*'Hail_Solar_Curve_Plot'!$B$11</x:f>
        <x:v>0.4</x:v>
      </x:c>
      <x:c r="E17" s="33" t="n">
        <x:f>C17*'Hail_Solar_Curve_Plot'!$B$10*'Hail_Solar_Curve_Plot'!$B$11*'Hail_Solar_Curve_Plot'!$B$12</x:f>
        <x:v>0.13270279207614877</x:v>
      </x:c>
      <x:c r="F17" s="33" t="n">
        <x:f>E17*'Hail_Solar_Curve_Plot'!$B$9</x:f>
        <x:v>0.10400530408568746</x:v>
      </x:c>
      <x:c r="G17" s="32" t="n">
        <x:f>F17*'Hail_Solar_Curve_Plot'!$B$7</x:f>
        <x:v>11648594.057596996</x:v>
      </x:c>
      <x:c r="H17" s="32" t="n">
        <x:f>'Hail_Solar_Curve_Plot'!$B$13</x:f>
        <x:v>23297188.115193993</x:v>
      </x:c>
      <x:c r="I17" s="24" t="str">
        <x:f>'Hail_Solar_Curve_Plot'!$G$13</x:f>
        <x:v>PLACEHOLDER</x:v>
      </x:c>
      <x:c r="J17" s="24" t="str">
        <x:v>placeholder; replace after evidence pass</x:v>
      </x:c>
    </x:row>
    <x:row r="18">
      <x:c r="A18" s="86" t="n">
        <x:f>A17+'Hail_Solar_Curve_Plot'!$G$11</x:f>
        <x:v>60</x:v>
      </x:c>
      <x:c r="B18" s="87" t="n">
        <x:f>A18/25.4</x:f>
        <x:v>2.362204724409449</x:v>
      </x:c>
      <x:c r="C18" s="33" t="n">
        <x:f>MAX(0,MIN('Hail_Solar_Curve_Plot'!$G$10,'Hail_Solar_Curve_Plot'!$G$10/(1+EXP(-'Hail_Solar_Curve_Plot'!$G$9*(A18-'Hail_Solar_Curve_Plot'!$G$8)))))</x:f>
        <x:v>0.7109495026250039</x:v>
      </x:c>
      <x:c r="D18" s="33" t="n">
        <x:f>C18*'Hail_Solar_Curve_Plot'!$B$11</x:f>
        <x:v>0.5687596021000031</x:v>
      </x:c>
      <x:c r="E18" s="33" t="n">
        <x:f>C18*'Hail_Solar_Curve_Plot'!$B$10*'Hail_Solar_Curve_Plot'!$B$11*'Hail_Solar_Curve_Plot'!$B$12</x:f>
        <x:v>0.18868996804697458</x:v>
      </x:c>
      <x:c r="F18" s="33" t="n">
        <x:f>E18*'Hail_Solar_Curve_Plot'!$B$9</x:f>
        <x:v>0.1478850384201636</x:v>
      </x:c>
      <x:c r="G18" s="32" t="n">
        <x:f>F18*'Hail_Solar_Curve_Plot'!$B$7</x:f>
        <x:v>16563124.303058323</x:v>
      </x:c>
      <x:c r="H18" s="32" t="n">
        <x:f>'Hail_Solar_Curve_Plot'!$B$13</x:f>
        <x:v>23297188.115193993</x:v>
      </x:c>
      <x:c r="I18" s="24" t="str">
        <x:f>'Hail_Solar_Curve_Plot'!$G$13</x:f>
        <x:v>PLACEHOLDER</x:v>
      </x:c>
      <x:c r="J18" s="24" t="str">
        <x:v>placeholder; replace after evidence pass</x:v>
      </x:c>
    </x:row>
    <x:row r="19">
      <x:c r="A19" s="86" t="n">
        <x:f>A18+'Hail_Solar_Curve_Plot'!$G$11</x:f>
        <x:v>65</x:v>
      </x:c>
      <x:c r="B19" s="87" t="n">
        <x:f>A19/25.4</x:f>
        <x:v>2.5590551181102366</x:v>
      </x:c>
      <x:c r="C19" s="33" t="n">
        <x:f>MAX(0,MIN('Hail_Solar_Curve_Plot'!$G$10,'Hail_Solar_Curve_Plot'!$G$10/(1+EXP(-'Hail_Solar_Curve_Plot'!$G$9*(A19-'Hail_Solar_Curve_Plot'!$G$8)))))</x:f>
        <x:v>0.8581489350995123</x:v>
      </x:c>
      <x:c r="D19" s="33" t="n">
        <x:f>C19*'Hail_Solar_Curve_Plot'!$B$11</x:f>
        <x:v>0.6865191480796099</x:v>
      </x:c>
      <x:c r="E19" s="33" t="n">
        <x:f>C19*'Hail_Solar_Curve_Plot'!$B$10*'Hail_Solar_Curve_Plot'!$B$11*'Hail_Solar_Curve_Plot'!$B$12</x:f>
        <x:v>0.22775751940975814</x:v>
      </x:c>
      <x:c r="F19" s="33" t="n">
        <x:f>E19*'Hail_Solar_Curve_Plot'!$B$9</x:f>
        <x:v>0.1785040818916673</x:v>
      </x:c>
      <x:c r="G19" s="32" t="n">
        <x:f>F19*'Hail_Solar_Curve_Plot'!$B$7</x:f>
        <x:v>19992457.171866737</x:v>
      </x:c>
      <x:c r="H19" s="32" t="n">
        <x:f>'Hail_Solar_Curve_Plot'!$B$13</x:f>
        <x:v>23297188.115193993</x:v>
      </x:c>
      <x:c r="I19" s="24" t="str">
        <x:f>'Hail_Solar_Curve_Plot'!$G$13</x:f>
        <x:v>PLACEHOLDER</x:v>
      </x:c>
      <x:c r="J19" s="24" t="str">
        <x:v>placeholder; replace after evidence pass</x:v>
      </x:c>
    </x:row>
    <x:row r="20">
      <x:c r="A20" s="86" t="n">
        <x:f>A19+'Hail_Solar_Curve_Plot'!$G$11</x:f>
        <x:v>70</x:v>
      </x:c>
      <x:c r="B20" s="87" t="n">
        <x:f>A20/25.4</x:f>
        <x:v>2.7559055118110236</x:v>
      </x:c>
      <x:c r="C20" s="33" t="n">
        <x:f>MAX(0,MIN('Hail_Solar_Curve_Plot'!$G$10,'Hail_Solar_Curve_Plot'!$G$10/(1+EXP(-'Hail_Solar_Curve_Plot'!$G$9*(A20-'Hail_Solar_Curve_Plot'!$G$8)))))</x:f>
        <x:v>0.9370266439430035</x:v>
      </x:c>
      <x:c r="D20" s="33" t="n">
        <x:f>C20*'Hail_Solar_Curve_Plot'!$B$11</x:f>
        <x:v>0.7496213151544029</x:v>
      </x:c>
      <x:c r="E20" s="33" t="n">
        <x:f>C20*'Hail_Solar_Curve_Plot'!$B$10*'Hail_Solar_Curve_Plot'!$B$11*'Hail_Solar_Curve_Plot'!$B$12</x:f>
        <x:v>0.24869210380195975</x:v>
      </x:c>
      <x:c r="F20" s="33" t="n">
        <x:f>E20*'Hail_Solar_Curve_Plot'!$B$9</x:f>
        <x:v>0.19491148207936654</x:v>
      </x:c>
      <x:c r="G20" s="32" t="n">
        <x:f>F20*'Hail_Solar_Curve_Plot'!$B$7</x:f>
        <x:v>21830085.992889054</x:v>
      </x:c>
      <x:c r="H20" s="32" t="n">
        <x:f>'Hail_Solar_Curve_Plot'!$B$13</x:f>
        <x:v>23297188.115193993</x:v>
      </x:c>
      <x:c r="I20" s="24" t="str">
        <x:f>'Hail_Solar_Curve_Plot'!$G$13</x:f>
        <x:v>PLACEHOLDER</x:v>
      </x:c>
      <x:c r="J20" s="24" t="str">
        <x:v>placeholder; replace after evidence pass</x:v>
      </x:c>
    </x:row>
    <x:row r="21">
      <x:c r="A21" s="86" t="n">
        <x:f>A20+'Hail_Solar_Curve_Plot'!$G$11</x:f>
        <x:v>75</x:v>
      </x:c>
      <x:c r="B21" s="87" t="n">
        <x:f>A21/25.4</x:f>
        <x:v>2.952755905511811</x:v>
      </x:c>
      <x:c r="C21" s="33" t="n">
        <x:f>MAX(0,MIN('Hail_Solar_Curve_Plot'!$G$10,'Hail_Solar_Curve_Plot'!$G$10/(1+EXP(-'Hail_Solar_Curve_Plot'!$G$9*(A21-'Hail_Solar_Curve_Plot'!$G$8)))))</x:f>
        <x:v>0.973403006423134</x:v>
      </x:c>
      <x:c r="D21" s="33" t="n">
        <x:f>C21*'Hail_Solar_Curve_Plot'!$B$11</x:f>
        <x:v>0.7787224051385073</x:v>
      </x:c>
      <x:c r="E21" s="33" t="n">
        <x:f>C21*'Hail_Solar_Curve_Plot'!$B$10*'Hail_Solar_Curve_Plot'!$B$11*'Hail_Solar_Curve_Plot'!$B$12</x:f>
        <x:v>0.25834659353533457</x:v>
      </x:c>
      <x:c r="F21" s="33" t="n">
        <x:f>E21*'Hail_Solar_Curve_Plot'!$B$9</x:f>
        <x:v>0.2024781513619209</x:v>
      </x:c>
      <x:c r="G21" s="32" t="n">
        <x:f>F21*'Hail_Solar_Curve_Plot'!$B$7</x:f>
        <x:v>22677552.95253514</x:v>
      </x:c>
      <x:c r="H21" s="32" t="n">
        <x:f>'Hail_Solar_Curve_Plot'!$B$13</x:f>
        <x:v>23297188.115193993</x:v>
      </x:c>
      <x:c r="I21" s="24" t="str">
        <x:f>'Hail_Solar_Curve_Plot'!$G$13</x:f>
        <x:v>PLACEHOLDER</x:v>
      </x:c>
      <x:c r="J21" s="24" t="str">
        <x:v>placeholder; replace after evidence pass</x:v>
      </x:c>
    </x:row>
    <x:row r="22">
      <x:c r="A22" s="86" t="n">
        <x:f>A21+'Hail_Solar_Curve_Plot'!$G$11</x:f>
        <x:v>80</x:v>
      </x:c>
      <x:c r="B22" s="87" t="n">
        <x:f>A22/25.4</x:f>
        <x:v>3.1496062992125986</x:v>
      </x:c>
      <x:c r="C22" s="33" t="n">
        <x:f>MAX(0,MIN('Hail_Solar_Curve_Plot'!$G$10,'Hail_Solar_Curve_Plot'!$G$10/(1+EXP(-'Hail_Solar_Curve_Plot'!$G$9*(A22-'Hail_Solar_Curve_Plot'!$G$8)))))</x:f>
        <x:v>0.9890130573694068</x:v>
      </x:c>
      <x:c r="D22" s="33" t="n">
        <x:f>C22*'Hail_Solar_Curve_Plot'!$B$11</x:f>
        <x:v>0.7912104458955255</x:v>
      </x:c>
      <x:c r="E22" s="33" t="n">
        <x:f>C22*'Hail_Solar_Curve_Plot'!$B$10*'Hail_Solar_Curve_Plot'!$B$11*'Hail_Solar_Curve_Plot'!$B$12</x:f>
        <x:v>0.2624895882253772</x:v>
      </x:c>
      <x:c r="F22" s="33" t="n">
        <x:f>E22*'Hail_Solar_Curve_Plot'!$B$9</x:f>
        <x:v>0.20572520755284127</x:v>
      </x:c>
      <x:c r="G22" s="32" t="n">
        <x:f>F22*'Hail_Solar_Curve_Plot'!$B$7</x:f>
        <x:v>23041223.24591822</x:v>
      </x:c>
      <x:c r="H22" s="32" t="n">
        <x:f>'Hail_Solar_Curve_Plot'!$B$13</x:f>
        <x:v>23297188.115193993</x:v>
      </x:c>
      <x:c r="I22" s="24" t="str">
        <x:f>'Hail_Solar_Curve_Plot'!$G$13</x:f>
        <x:v>PLACEHOLDER</x:v>
      </x:c>
      <x:c r="J22" s="24" t="str">
        <x:v>placeholder; replace after evidence pass</x:v>
      </x:c>
    </x:row>
    <x:row r="23">
      <x:c r="A23" s="86" t="n">
        <x:f>A22+'Hail_Solar_Curve_Plot'!$G$11</x:f>
        <x:v>85</x:v>
      </x:c>
      <x:c r="B23" s="87" t="n">
        <x:f>A23/25.4</x:f>
        <x:v>3.346456692913386</x:v>
      </x:c>
      <x:c r="C23" s="33" t="n">
        <x:f>MAX(0,MIN('Hail_Solar_Curve_Plot'!$G$10,'Hail_Solar_Curve_Plot'!$G$10/(1+EXP(-'Hail_Solar_Curve_Plot'!$G$9*(A23-'Hail_Solar_Curve_Plot'!$G$8)))))</x:f>
        <x:v>0.9955037268390589</x:v>
      </x:c>
      <x:c r="D23" s="33" t="n">
        <x:f>C23*'Hail_Solar_Curve_Plot'!$B$11</x:f>
        <x:v>0.7964029814712471</x:v>
      </x:c>
      <x:c r="E23" s="33" t="n">
        <x:f>C23*'Hail_Solar_Curve_Plot'!$B$10*'Hail_Solar_Curve_Plot'!$B$11*'Hail_Solar_Curve_Plot'!$B$12</x:f>
        <x:v>0.26421224814750965</x:v>
      </x:c>
      <x:c r="F23" s="33" t="n">
        <x:f>E23*'Hail_Solar_Curve_Plot'!$B$9</x:f>
        <x:v>0.20707533565666292</x:v>
      </x:c>
      <x:c r="G23" s="32" t="n">
        <x:f>F23*'Hail_Solar_Curve_Plot'!$B$7</x:f>
        <x:v>23192437.593546245</x:v>
      </x:c>
      <x:c r="H23" s="32" t="n">
        <x:f>'Hail_Solar_Curve_Plot'!$B$13</x:f>
        <x:v>23297188.115193993</x:v>
      </x:c>
      <x:c r="I23" s="24" t="str">
        <x:f>'Hail_Solar_Curve_Plot'!$G$13</x:f>
        <x:v>PLACEHOLDER</x:v>
      </x:c>
      <x:c r="J23" s="24" t="str">
        <x:v>placeholder; replace after evidence pass</x:v>
      </x:c>
    </x:row>
    <x:row r="24">
      <x:c r="A24" s="86" t="n">
        <x:f>A23+'Hail_Solar_Curve_Plot'!$G$11</x:f>
        <x:v>90</x:v>
      </x:c>
      <x:c r="B24" s="87" t="n">
        <x:f>A24/25.4</x:f>
        <x:v>3.5433070866141736</x:v>
      </x:c>
      <x:c r="C24" s="33" t="n">
        <x:f>MAX(0,MIN('Hail_Solar_Curve_Plot'!$G$10,'Hail_Solar_Curve_Plot'!$G$10/(1+EXP(-'Hail_Solar_Curve_Plot'!$G$9*(A24-'Hail_Solar_Curve_Plot'!$G$8)))))</x:f>
        <x:v>0.9981670610575072</x:v>
      </x:c>
      <x:c r="D24" s="33" t="n">
        <x:f>C24*'Hail_Solar_Curve_Plot'!$B$11</x:f>
        <x:v>0.7985336488460058</x:v>
      </x:c>
      <x:c r="E24" s="33" t="n">
        <x:f>C24*'Hail_Solar_Curve_Plot'!$B$10*'Hail_Solar_Curve_Plot'!$B$11*'Hail_Solar_Curve_Plot'!$B$12</x:f>
        <x:v>0.26491911192154977</x:v>
      </x:c>
      <x:c r="F24" s="33" t="n">
        <x:f>E24*'Hail_Solar_Curve_Plot'!$B$9</x:f>
        <x:v>0.20762933742720602</x:v>
      </x:c>
      <x:c r="G24" s="32" t="n">
        <x:f>F24*'Hail_Solar_Curve_Plot'!$B$7</x:f>
        <x:v>23254485.791847073</x:v>
      </x:c>
      <x:c r="H24" s="32" t="n">
        <x:f>'Hail_Solar_Curve_Plot'!$B$13</x:f>
        <x:v>23297188.115193993</x:v>
      </x:c>
      <x:c r="I24" s="24" t="str">
        <x:f>'Hail_Solar_Curve_Plot'!$G$13</x:f>
        <x:v>PLACEHOLDER</x:v>
      </x:c>
      <x:c r="J24" s="24" t="str">
        <x:v>placeholder; replace after evidence pass</x:v>
      </x:c>
    </x:row>
    <x:row r="25">
      <x:c r="A25" s="86" t="n">
        <x:f>A24+'Hail_Solar_Curve_Plot'!$G$11</x:f>
        <x:v>95</x:v>
      </x:c>
      <x:c r="B25" s="87" t="n">
        <x:f>A25/25.4</x:f>
        <x:v>3.7401574803149606</x:v>
      </x:c>
      <x:c r="C25" s="33" t="n">
        <x:f>MAX(0,MIN('Hail_Solar_Curve_Plot'!$G$10,'Hail_Solar_Curve_Plot'!$G$10/(1+EXP(-'Hail_Solar_Curve_Plot'!$G$9*(A25-'Hail_Solar_Curve_Plot'!$G$8)))))</x:f>
        <x:v>0.9992539711661633</x:v>
      </x:c>
      <x:c r="D25" s="33" t="n">
        <x:f>C25*'Hail_Solar_Curve_Plot'!$B$11</x:f>
        <x:v>0.7994031769329307</x:v>
      </x:c>
      <x:c r="E25" s="33" t="n">
        <x:f>C25*'Hail_Solar_Curve_Plot'!$B$10*'Hail_Solar_Curve_Plot'!$B$11*'Hail_Solar_Curve_Plot'!$B$12</x:f>
        <x:v>0.2652075839338587</x:v>
      </x:c>
      <x:c r="F25" s="33" t="n">
        <x:f>E25*'Hail_Solar_Curve_Plot'!$B$9</x:f>
        <x:v>0.2078554262599352</x:v>
      </x:c>
      <x:c r="G25" s="32" t="n">
        <x:f>F25*'Hail_Solar_Curve_Plot'!$B$7</x:f>
        <x:v>23279807.741112743</x:v>
      </x:c>
      <x:c r="H25" s="32" t="n">
        <x:f>'Hail_Solar_Curve_Plot'!$B$13</x:f>
        <x:v>23297188.115193993</x:v>
      </x:c>
      <x:c r="I25" s="24" t="str">
        <x:f>'Hail_Solar_Curve_Plot'!$G$13</x:f>
        <x:v>PLACEHOLDER</x:v>
      </x:c>
      <x:c r="J25" s="24" t="str">
        <x:v>placeholder; replace after evidence pass</x:v>
      </x:c>
    </x:row>
    <x:row r="26">
      <x:c r="A26" s="86" t="n">
        <x:f>A25+'Hail_Solar_Curve_Plot'!$G$11</x:f>
        <x:v>100</x:v>
      </x:c>
      <x:c r="B26" s="87" t="n">
        <x:f>A26/25.4</x:f>
        <x:v>3.937007874015748</x:v>
      </x:c>
      <x:c r="C26" s="33" t="n">
        <x:f>MAX(0,MIN('Hail_Solar_Curve_Plot'!$G$10,'Hail_Solar_Curve_Plot'!$G$10/(1+EXP(-'Hail_Solar_Curve_Plot'!$G$9*(A26-'Hail_Solar_Curve_Plot'!$G$8)))))</x:f>
        <x:v>0.9996965529699712</x:v>
      </x:c>
      <x:c r="D26" s="33" t="n">
        <x:f>C26*'Hail_Solar_Curve_Plot'!$B$11</x:f>
        <x:v>0.799757242375977</x:v>
      </x:c>
      <x:c r="E26" s="33" t="n">
        <x:f>C26*'Hail_Solar_Curve_Plot'!$B$10*'Hail_Solar_Curve_Plot'!$B$11*'Hail_Solar_Curve_Plot'!$B$12</x:f>
        <x:v>0.2653250476160335</x:v>
      </x:c>
      <x:c r="F26" s="33" t="n">
        <x:f>E26*'Hail_Solar_Curve_Plot'!$B$9</x:f>
        <x:v>0.20794748797011084</x:v>
      </x:c>
      <x:c r="G26" s="32" t="n">
        <x:f>F26*'Hail_Solar_Curve_Plot'!$B$7</x:f>
        <x:v>23290118.652652413</x:v>
      </x:c>
      <x:c r="H26" s="32" t="n">
        <x:f>'Hail_Solar_Curve_Plot'!$B$13</x:f>
        <x:v>23297188.115193993</x:v>
      </x:c>
      <x:c r="I26" s="24" t="str">
        <x:f>'Hail_Solar_Curve_Plot'!$G$13</x:f>
        <x:v>PLACEHOLDER</x:v>
      </x:c>
      <x:c r="J26" s="24" t="str">
        <x:v>placeholder; replace after evidence pass</x:v>
      </x:c>
    </x:row>
    <x:row r="30">
      <x:c r="A30" s="71" t="str">
        <x:v>Source-backed hail axis / test anchors</x:v>
      </x:c>
      <x:c r="B30" s="71" t="str"/>
      <x:c r="C30" s="71" t="str"/>
      <x:c r="D30" s="71" t="str"/>
      <x:c r="E30" s="71" t="str"/>
      <x:c r="F30" s="71" t="str"/>
      <x:c r="H30" s="71" t="str">
        <x:v>Source URLs</x:v>
      </x:c>
      <x:c r="I30" s="71" t="str"/>
      <x:c r="J30" s="71" t="str"/>
    </x:row>
    <x:row r="31">
      <x:c r="A31" s="75" t="str">
        <x:v>Anchor</x:v>
      </x:c>
      <x:c r="B31" s="75" t="str">
        <x:v>Diameter</x:v>
      </x:c>
      <x:c r="C31" s="75" t="str">
        <x:v>Unit</x:v>
      </x:c>
      <x:c r="D31" s="75" t="str">
        <x:v>Mass</x:v>
      </x:c>
      <x:c r="E31" s="75" t="str">
        <x:v>Velocity</x:v>
      </x:c>
      <x:c r="F31" s="75" t="str">
        <x:v>Use</x:v>
      </x:c>
      <x:c r="H31" s="24" t="str">
        <x:v>NOAA/NCEI Storm Events FAQ</x:v>
      </x:c>
      <x:c r="I31" s="24" t="str">
        <x:v>https://www.ncdc.noaa.gov/stormevents/faq.jsp</x:v>
      </x:c>
      <x:c r="J31" s="24" t="str">
        <x:v>Hail magnitude as size in inches/hundredths.</x:v>
      </x:c>
    </x:row>
    <x:row r="32">
      <x:c r="A32" s="24" t="str">
        <x:v>NOAA Storm Events hail magnitude</x:v>
      </x:c>
      <x:c r="B32" s="24" t="str">
        <x:v>source-native</x:v>
      </x:c>
      <x:c r="C32" s="24" t="str">
        <x:v>in</x:v>
      </x:c>
      <x:c r="D32" s="24" t="str"/>
      <x:c r="E32" s="24" t="str"/>
      <x:c r="F32" s="24" t="str">
        <x:v>Historical reports are size-native.</x:v>
      </x:c>
      <x:c r="H32" s="24" t="str">
        <x:v>NOAA/NWS MESH Virtual Lab</x:v>
      </x:c>
      <x:c r="I32" s="24" t="str">
        <x:v>https://vlab.noaa.gov/web/wdtd/-/maximum-estimated-size-of-hail-mes-2</x:v>
      </x:c>
      <x:c r="J32" s="24" t="str">
        <x:v>MESH estimate of max hail size; base mm / display inches.</x:v>
      </x:c>
    </x:row>
    <x:row r="33">
      <x:c r="A33" s="24" t="str">
        <x:v>NOAA/NWS MESH</x:v>
      </x:c>
      <x:c r="B33" s="24" t="str">
        <x:v>MESH-equivalent max hail size</x:v>
      </x:c>
      <x:c r="C33" s="24" t="str">
        <x:v>mm internal / in display</x:v>
      </x:c>
      <x:c r="D33" s="24" t="str"/>
      <x:c r="E33" s="24" t="str"/>
      <x:c r="F33" s="24" t="str">
        <x:v>Primary gridded operational axis.</x:v>
      </x:c>
      <x:c r="H33" s="24" t="str">
        <x:v>DOE/FEMP PV hail mitigation</x:v>
      </x:c>
      <x:c r="I33" s="24" t="str">
        <x:v>https://www.energy.gov/femp/hail-damage-mitigation-solar-photovoltaic-systems</x:v>
      </x:c>
      <x:c r="J33" s="24" t="str">
        <x:v>PV module hail mitigation; IEC 61215 hail test anchors.</x:v>
      </x:c>
    </x:row>
    <x:row r="34">
      <x:c r="A34" s="24" t="str">
        <x:v>IEC basic certification</x:v>
      </x:c>
      <x:c r="B34" s="24" t="n">
        <x:v>25</x:v>
      </x:c>
      <x:c r="C34" s="24" t="str">
        <x:v>mm</x:v>
      </x:c>
      <x:c r="D34" s="24" t="str">
        <x:v>7.54 g</x:v>
      </x:c>
      <x:c r="E34" s="24" t="str">
        <x:v>23 m/s</x:v>
      </x:c>
      <x:c r="F34" s="24" t="str">
        <x:v>Anchor / standard, not a full curve.</x:v>
      </x:c>
      <x:c r="H34" s="24" t="str">
        <x:v>Valuation workbook</x:v>
      </x:c>
      <x:c r="I34" s="24" t="str">
        <x:v>solar_wind_value_breakdown.xlsx</x:v>
      </x:c>
      <x:c r="J34" s="24" t="str">
        <x:v>Default 100 MWdc solar value basis.</x:v>
      </x:c>
    </x:row>
    <x:row r="35">
      <x:c r="A35" s="24" t="str">
        <x:v>DOE severe hail concern</x:v>
      </x:c>
      <x:c r="B35" s="24" t="str">
        <x:v>&gt;44</x:v>
      </x:c>
      <x:c r="C35" s="24" t="str">
        <x:v>mm</x:v>
      </x:c>
      <x:c r="D35" s="24" t="str"/>
      <x:c r="E35" s="24" t="str"/>
      <x:c r="F35" s="24" t="str">
        <x:v>Qualitative high-risk region for PV modules.</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24" hidden="0" customWidth="1"/>
    <x:col min="2" max="2" width="2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x:c r="A1" s="93" t="str">
        <x:v>Hail × Solar v1.0 derived curve — MESH-equivalent diameter to PV module replacement loss</x:v>
      </x:c>
      <x:c r="B1" s="93"/>
      <x:c r="C1" s="93"/>
      <x:c r="D1" s="93"/>
      <x:c r="E1" s="93"/>
      <x:c r="F1" s="93"/>
      <x:c r="G1" s="93"/>
      <x:c r="H1" s="93"/>
      <x:c r="I1" s="93"/>
      <x:c r="J1" s="93"/>
      <x:c r="K1" s="24"/>
      <x:c r="L1" s="24"/>
      <x:c r="M1" s="24"/>
      <x:c r="N1" s="24"/>
      <x:c r="O1" s="24"/>
      <x:c r="P1" s="24"/>
      <x:c r="Q1" s="24"/>
      <x:c r="R1" s="24"/>
      <x:c r="S1" s="24"/>
      <x:c r="T1" s="24"/>
      <x:c r="U1" s="24"/>
      <x:c r="V1" s="24"/>
      <x:c r="W1" s="24"/>
      <x:c r="X1" s="24"/>
      <x:c r="Y1" s="24"/>
      <x:c r="Z1" s="24"/>
    </x:row>
    <x:row r="2">
      <x:c r="A2" s="94" t="str">
        <x:v>Status: v1.0 public-source derived. This is a first defensible curve, not a private claims calibration. Primary x-axis is max hail diameter / MESH-equivalent size; impact KE is retained only as an explicit physics bridge.</x:v>
      </x:c>
      <x:c r="B2" s="94"/>
      <x:c r="C2" s="94"/>
      <x:c r="D2" s="94"/>
      <x:c r="E2" s="94"/>
      <x:c r="F2" s="94"/>
      <x:c r="G2" s="94"/>
      <x:c r="H2" s="94"/>
      <x:c r="I2" s="94"/>
      <x:c r="J2" s="94"/>
    </x:row>
    <x:row r="4">
      <x:c r="A4" s="99" t="str">
        <x:v>curve_id</x:v>
      </x:c>
      <x:c r="B4" s="99" t="str">
        <x:v>module_archetype</x:v>
      </x:c>
      <x:c r="C4" s="99" t="str">
        <x:v>curve_form</x:v>
      </x:c>
      <x:c r="D4" s="99" t="str">
        <x:v>D50_mm</x:v>
      </x:c>
      <x:c r="E4" s="99" t="str">
        <x:v>k_1_per_mm</x:v>
      </x:c>
      <x:c r="F4" s="99" t="str">
        <x:v>primary anchors</x:v>
      </x:c>
      <x:c r="G4" s="99" t="str">
        <x:v>derivation_status</x:v>
      </x:c>
      <x:c r="H4" s="99" t="str">
        <x:v>confidence</x:v>
      </x:c>
      <x:c r="I4" s="99" t="str">
        <x:v>interpretation</x:v>
      </x:c>
      <x:c r="J4" s="99" t="str">
        <x:v>notes</x:v>
      </x:c>
    </x:row>
    <x:row r="5">
      <x:c r="A5" t="str">
        <x:v>HAIL_SOLAR_FRAGILE_THIN_GG</x:v>
      </x:c>
      <x:c r="B5" t="str">
        <x:v>Fragile / thin 2.0 mm glass//glass</x:v>
      </x:c>
      <x:c r="C5" t="str">
        <x:v>logistic P_break(D)</x:v>
      </x:c>
      <x:c r="D5" s="100" t="n">
        <x:v>41.07384158689197</x:v>
      </x:c>
      <x:c r="E5" s="100" t="n">
        <x:v>0.2206330604244443</x:v>
      </x:c>
      <x:c r="F5" t="str">
        <x:v>PVEL/Kiwa 2023: 35mm 18%, 40mm 57%, 50mm 89%; PVEL/Kiwa 2026: 40mm 43%, 45mm 61%</x:v>
      </x:c>
      <x:c r="G5" t="str">
        <x:v>v1.0 least-squares fit</x:v>
      </x:c>
      <x:c r="H5" t="str">
        <x:v>medium</x:v>
      </x:c>
      <x:c r="I5" t="str">
        <x:v>upper/fragile scenario</x:v>
      </x:c>
      <x:c r="J5" t="str">
        <x:v>Thin glass//glass is not the default; use for bifacial thin-glass designs or sensitivity.</x:v>
      </x:c>
    </x:row>
    <x:row r="6">
      <x:c r="A6" t="str">
        <x:v>HAIL_SOLAR_DEFAULT_3P2_GBS</x:v>
      </x:c>
      <x:c r="B6" t="str">
        <x:v>Default / 3.2 mm fully tempered glass//backsheet</x:v>
      </x:c>
      <x:c r="C6" t="str">
        <x:v>logistic P_break(D)</x:v>
      </x:c>
      <x:c r="D6" s="100" t="n">
        <x:v>52.69607620290103</x:v>
      </x:c>
      <x:c r="E6" s="100" t="n">
        <x:v>0.1659123052836369</x:v>
      </x:c>
      <x:c r="F6" t="str">
        <x:v>IEC 25mm basic pass as near-zero breakage; PVEL/Kiwa 2023: 50mm 39% glass breakage for 3.2mm glass//backsheet</x:v>
      </x:c>
      <x:c r="G6" t="str">
        <x:v>v1.0 two-anchor fit</x:v>
      </x:c>
      <x:c r="H6" t="str">
        <x:v>medium</x:v>
      </x:c>
      <x:c r="I6" t="str">
        <x:v>default selected scenario</x:v>
      </x:c>
      <x:c r="J6" t="str">
        <x:v>Chosen as default because DOE/FEMP recommends at least 3.2mm front glass and PVEL reports lower breakage than thin glass//glass.</x:v>
      </x:c>
    </x:row>
    <x:row r="7">
      <x:c r="A7" t="str">
        <x:v>HAIL_SOLAR_HARDENED_THICKER</x:v>
      </x:c>
      <x:c r="B7" t="str">
        <x:v>Hail-hardened / thicker glass design</x:v>
      </x:c>
      <x:c r="C7" t="str">
        <x:v>logistic P_break(D)</x:v>
      </x:c>
      <x:c r="D7" s="100" t="n">
        <x:v>64.1138295233511</x:v>
      </x:c>
      <x:c r="E7" s="100" t="n">
        <x:v>0.1353307740313274</x:v>
      </x:c>
      <x:c r="F7" t="str">
        <x:v>IEC 25mm near-zero; PVEL/Kiwa 2026: thicker glass modules 7% breakage at 45mm</x:v>
      </x:c>
      <x:c r="G7" t="str">
        <x:v>v1.0 extrapolated fit</x:v>
      </x:c>
      <x:c r="H7" t="str">
        <x:v>low/medium</x:v>
      </x:c>
      <x:c r="I7" t="str">
        <x:v>lower/hardened scenario</x:v>
      </x:c>
      <x:c r="J7" t="str">
        <x:v>Only one strong public breakage anchor above IEC; treat tail as extrapolated until BOM-specific reports are available.</x:v>
      </x:c>
    </x:row>
    <x:row r="10">
      <x:c r="A10" s="99" t="str">
        <x:v>financial_input</x:v>
      </x:c>
      <x:c r="B10" s="99" t="str">
        <x:v>value</x:v>
      </x:c>
      <x:c r="C10" s="99" t="str">
        <x:v>unit</x:v>
      </x:c>
      <x:c r="D10" s="99" t="str">
        <x:v>source/role</x:v>
      </x:c>
      <x:c r="E10" s="99" t="str">
        <x:v>notes</x:v>
      </x:c>
    </x:row>
    <x:row r="11">
      <x:c r="A11" t="str">
        <x:v>physical_base_usd</x:v>
      </x:c>
      <x:c r="B11" s="28" t="n">
        <x:v>87779570.23626667</x:v>
      </x:c>
      <x:c r="C11" t="str">
        <x:v>USD</x:v>
      </x:c>
      <x:c r="D11" t="str">
        <x:v>Value_Link / valuation workbook</x:v>
      </x:c>
      <x:c r="E11" t="str">
        <x:v>Default 100 MWdc solar physical replaceable base.</x:v>
      </x:c>
    </x:row>
    <x:row r="12">
      <x:c r="A12" t="str">
        <x:v>installed_capex_or_TIV_usd</x:v>
      </x:c>
      <x:c r="B12" s="28" t="n">
        <x:v>112000000</x:v>
      </x:c>
      <x:c r="C12" t="str">
        <x:v>USD</x:v>
      </x:c>
      <x:c r="D12" t="str">
        <x:v>Asset_Inputs / valuation workbook</x:v>
      </x:c>
      <x:c r="E12" t="str">
        <x:v>Used for %TIV view; physical loss is translated into installed-capex denominator.</x:v>
      </x:c>
    </x:row>
    <x:row r="13">
      <x:c r="A13" t="str">
        <x:v>pv_array_value_share_physical_base</x:v>
      </x:c>
      <x:c r="B13" s="30" t="n">
        <x:v>0.3317569801903719</x:v>
      </x:c>
      <x:c r="C13" t="str">
        <x:v>fraction</x:v>
      </x:c>
      <x:c r="D13" t="str">
        <x:v>Value_Link</x:v>
      </x:c>
      <x:c r="E13" t="str">
        <x:v>PV_ARRAY share of physical replaceable base.</x:v>
      </x:c>
    </x:row>
    <x:row r="14">
      <x:c r="A14" t="str">
        <x:v>hail_at_risk_f</x:v>
      </x:c>
      <x:c r="B14" s="30" t="n">
        <x:v>0.8</x:v>
      </x:c>
      <x:c r="C14" t="str">
        <x:v>fraction</x:v>
      </x:c>
      <x:c r="D14" t="str">
        <x:v>Value_Link placeholder</x:v>
      </x:c>
      <x:c r="E14" t="str">
        <x:v>Material share for exposed module glass/cell value. Still a load-bearing open seam.</x:v>
      </x:c>
    </x:row>
    <x:row r="15">
      <x:c r="A15" t="str">
        <x:v>exposure_fraction_default</x:v>
      </x:c>
      <x:c r="B15" s="30" t="n">
        <x:v>1</x:v>
      </x:c>
      <x:c r="C15" t="str">
        <x:v>fraction</x:v>
      </x:c>
      <x:c r="D15" t="str">
        <x:v>v1 default</x:v>
      </x:c>
      <x:c r="E15" t="str">
        <x:v>Assumes full site hail swath exposure; site-specific MESH raster overlay should override.</x:v>
      </x:c>
    </x:row>
    <x:row r="16">
      <x:c r="A16" t="str">
        <x:v>cap_L_usd</x:v>
      </x:c>
      <x:c r="B16" s="28" t="n">
        <x:f>B11*B13*B14*B15</x:f>
        <x:v>23297188.11519399</x:v>
      </x:c>
      <x:c r="C16" t="str">
        <x:v>USD</x:v>
      </x:c>
      <x:c r="D16" t="str">
        <x:v>formula</x:v>
      </x:c>
      <x:c r="E16" t="str">
        <x:v>Maximum primary module/glass-cell loss under default f and exposure.</x:v>
      </x:c>
    </x:row>
    <x:row r="17">
      <x:c r="A17" t="str">
        <x:v>cap_L_pct_physical_base</x:v>
      </x:c>
      <x:c r="B17" s="30" t="n">
        <x:f>B13*B14*B15</x:f>
        <x:v>0.26540558415229754</x:v>
      </x:c>
      <x:c r="C17" t="str">
        <x:v>% of physical base</x:v>
      </x:c>
      <x:c r="D17" t="str">
        <x:v>formula</x:v>
      </x:c>
      <x:c r="E17" t="str">
        <x:v>This is the cap for module-glass failure-unit as share of physical base.</x:v>
      </x:c>
    </x:row>
    <x:row r="18">
      <x:c r="A18" t="str">
        <x:v>cap_L_pct_installed_or_TIV</x:v>
      </x:c>
      <x:c r="B18" s="30" t="n">
        <x:f>B16/B12</x:f>
        <x:v>0.2080106081713749</x:v>
      </x:c>
      <x:c r="C18" t="str">
        <x:v>% of installed capex/TIV</x:v>
      </x:c>
      <x:c r="D18" t="str">
        <x:v>formula</x:v>
      </x:c>
      <x:c r="E18" t="str">
        <x:v>This is the cap for module-glass failure-unit as share of installed capex/TIV.</x:v>
      </x:c>
    </x:row>
    <x:row r="21">
      <x:c r="A21" s="99" t="str">
        <x:v>bridge_input</x:v>
      </x:c>
      <x:c r="B21" s="99" t="str">
        <x:v>value</x:v>
      </x:c>
      <x:c r="C21" s="99" t="str">
        <x:v>unit</x:v>
      </x:c>
      <x:c r="D21" s="99" t="str">
        <x:v>source/role</x:v>
      </x:c>
      <x:c r="E21" s="99" t="str">
        <x:v>notes</x:v>
      </x:c>
    </x:row>
    <x:row r="22">
      <x:c r="A22" t="str">
        <x:v>mass_powerlaw_coeff_g</x:v>
      </x:c>
      <x:c r="B22" t="n">
        <x:v>0.0005290356816000233</x:v>
      </x:c>
      <x:c r="C22" t="str">
        <x:v>g/mm^b</x:v>
      </x:c>
      <x:c r="D22" t="str">
        <x:v>fit to DOE/FEMP IEC table</x:v>
      </x:c>
      <x:c r="E22" t="str">
        <x:v>mass_g = coeff × D_mm^exponent</x:v>
      </x:c>
    </x:row>
    <x:row r="23">
      <x:c r="A23" t="str">
        <x:v>mass_powerlaw_exponent</x:v>
      </x:c>
      <x:c r="B23" t="n">
        <x:v>2.9739972291904118</x:v>
      </x:c>
      <x:c r="C23" t="str">
        <x:v>dimensionless</x:v>
      </x:c>
      <x:c r="D23" t="str">
        <x:v>fit to DOE/FEMP IEC table</x:v>
      </x:c>
      <x:c r="E23" t="str"/>
    </x:row>
    <x:row r="24">
      <x:c r="A24" t="str">
        <x:v>velocity_powerlaw_coeff_mps</x:v>
      </x:c>
      <x:c r="B24" t="n">
        <x:v>4.812461195443225</x:v>
      </x:c>
      <x:c r="C24" t="str">
        <x:v>m/s per mm^b</x:v>
      </x:c>
      <x:c r="D24" t="str">
        <x:v>fit to DOE/FEMP IEC table</x:v>
      </x:c>
      <x:c r="E24" t="str">
        <x:v>velocity_mps = coeff × D_mm^exponent</x:v>
      </x:c>
    </x:row>
    <x:row r="25">
      <x:c r="A25" t="str">
        <x:v>velocity_powerlaw_exponent</x:v>
      </x:c>
      <x:c r="B25" t="n">
        <x:v>0.48664309207404094</x:v>
      </x:c>
      <x:c r="C25" t="str">
        <x:v>dimensionless</x:v>
      </x:c>
      <x:c r="D25" t="str">
        <x:v>fit to DOE/FEMP IEC table</x:v>
      </x:c>
      <x:c r="E25" t="str"/>
    </x:row>
    <x:row r="26">
      <x:c r="A26" t="str">
        <x:v>KE_proxy_formula</x:v>
      </x:c>
      <x:c r="B26" t="str">
        <x:v>0.5 × mass_kg(D) × velocity(D)^2</x:v>
      </x:c>
      <x:c r="C26" t="str">
        <x:v>J/impact</x:v>
      </x:c>
      <x:c r="D26" t="str">
        <x:v>derived bridge</x:v>
      </x:c>
      <x:c r="E26" t="str">
        <x:v>Per-stone impact energy proxy; not J/m².</x:v>
      </x:c>
    </x:row>
    <x:row r="29">
      <x:c r="A29" s="99" t="str">
        <x:v>anchor_id</x:v>
      </x:c>
      <x:c r="B29" s="99" t="str">
        <x:v>source</x:v>
      </x:c>
      <x:c r="C29" s="99" t="str">
        <x:v>module_archetype</x:v>
      </x:c>
      <x:c r="D29" s="99" t="str">
        <x:v>diameter_mm</x:v>
      </x:c>
      <x:c r="E29" s="99" t="str">
        <x:v>observed_or_assumed_breakage</x:v>
      </x:c>
      <x:c r="F29" s="99" t="str">
        <x:v>use_in_fit</x:v>
      </x:c>
      <x:c r="G29" s="99" t="str">
        <x:v>source_url</x:v>
      </x:c>
      <x:c r="H29" s="99" t="str">
        <x:v>caveat</x:v>
      </x:c>
    </x:row>
    <x:row r="30">
      <x:c r="A30" t="str">
        <x:v>A_IEC_25_DEFAULT</x:v>
      </x:c>
      <x:c r="B30" t="str">
        <x:v>DOE/FEMP IEC 61215 hail certification table</x:v>
      </x:c>
      <x:c r="C30" t="str">
        <x:v>all modern modules</x:v>
      </x:c>
      <x:c r="D30" t="n">
        <x:v>25</x:v>
      </x:c>
      <x:c r="E30" t="n">
        <x:v>0.01</x:v>
      </x:c>
      <x:c r="F30" t="str">
        <x:v>default near-zero anchor</x:v>
      </x:c>
      <x:c r="G30" t="str">
        <x:v>https://www.energy.gov/cmei/femp/hail-damage-mitigation-pv-systems</x:v>
      </x:c>
      <x:c r="H30" t="str">
        <x:v>Certification pass is not a field damage curve.</x:v>
      </x:c>
    </x:row>
    <x:row r="31">
      <x:c r="A31" t="str">
        <x:v>A_IEC_25_HARDENED</x:v>
      </x:c>
      <x:c r="B31" t="str">
        <x:v>DOE/FEMP IEC 61215 hail certification table</x:v>
      </x:c>
      <x:c r="C31" t="str">
        <x:v>hail-hardened modules</x:v>
      </x:c>
      <x:c r="D31" s="84" t="n">
        <x:v>25</x:v>
      </x:c>
      <x:c r="E31" s="84" t="n">
        <x:v>0.005</x:v>
      </x:c>
      <x:c r="F31" t="str">
        <x:v>hardened near-zero anchor</x:v>
      </x:c>
      <x:c r="G31" t="str">
        <x:v>https://www.energy.gov/cmei/femp/hail-damage-mitigation-pv-systems</x:v>
      </x:c>
      <x:c r="H31" t="str">
        <x:v>Assumption; hardening should be no worse than baseline.</x:v>
      </x:c>
    </x:row>
    <x:row r="32">
      <x:c r="A32" t="str">
        <x:v>A_PVEL_2023_GG_35</x:v>
      </x:c>
      <x:c r="B32" t="str">
        <x:v>PVEL/Kiwa 2023 HSS</x:v>
      </x:c>
      <x:c r="C32" t="str">
        <x:v>2.0mm glass//glass</x:v>
      </x:c>
      <x:c r="D32" s="84" t="n">
        <x:v>35</x:v>
      </x:c>
      <x:c r="E32" s="84" t="n">
        <x:v>0.18</x:v>
      </x:c>
      <x:c r="F32" t="str">
        <x:v>fragile fit</x:v>
      </x:c>
      <x:c r="G32" t="str">
        <x:v>https://2023modulescorecard.pvel.com/hail-stress-sequence/</x:v>
      </x:c>
      <x:c r="H32" t="str">
        <x:v>Reduced impact energy retest; lab targeted impacts.</x:v>
      </x:c>
    </x:row>
    <x:row r="33">
      <x:c r="A33" t="str">
        <x:v>A_PVEL_2023_GG_40</x:v>
      </x:c>
      <x:c r="B33" t="str">
        <x:v>PVEL/Kiwa 2023 HSS</x:v>
      </x:c>
      <x:c r="C33" t="str">
        <x:v>2.0mm glass//glass</x:v>
      </x:c>
      <x:c r="D33" s="84" t="n">
        <x:v>40</x:v>
      </x:c>
      <x:c r="E33" s="84" t="n">
        <x:v>0.57</x:v>
      </x:c>
      <x:c r="F33" t="str">
        <x:v>fragile fit</x:v>
      </x:c>
      <x:c r="G33" t="str">
        <x:v>https://2023modulescorecard.pvel.com/hail-stress-sequence/</x:v>
      </x:c>
      <x:c r="H33" t="str">
        <x:v>Lab targeted impacts.</x:v>
      </x:c>
    </x:row>
    <x:row r="34">
      <x:c r="A34" t="str">
        <x:v>A_PVEL_2026_GG_40</x:v>
      </x:c>
      <x:c r="B34" t="str">
        <x:v>Kiwa PVEL 2026 HSS</x:v>
      </x:c>
      <x:c r="C34" t="str">
        <x:v>2.0mm glass//glass</x:v>
      </x:c>
      <x:c r="D34" s="84" t="n">
        <x:v>40</x:v>
      </x:c>
      <x:c r="E34" s="84" t="n">
        <x:v>0.43</x:v>
      </x:c>
      <x:c r="F34" t="str">
        <x:v>fragile fit</x:v>
      </x:c>
      <x:c r="G34" t="str">
        <x:v>https://scorecard.pvel.com/hail-stress-sequence/</x:v>
      </x:c>
      <x:c r="H34" t="str">
        <x:v>Current-year aggregate; dataset mix differs from 2023.</x:v>
      </x:c>
    </x:row>
    <x:row r="35">
      <x:c r="A35" t="str">
        <x:v>A_PVEL_2026_GG_45</x:v>
      </x:c>
      <x:c r="B35" t="str">
        <x:v>Kiwa PVEL 2026 HSS</x:v>
      </x:c>
      <x:c r="C35" t="str">
        <x:v>2.0mm glass//glass</x:v>
      </x:c>
      <x:c r="D35" s="84" t="n">
        <x:v>45</x:v>
      </x:c>
      <x:c r="E35" s="84" t="n">
        <x:v>0.61</x:v>
      </x:c>
      <x:c r="F35" t="str">
        <x:v>fragile fit</x:v>
      </x:c>
      <x:c r="G35" t="str">
        <x:v>https://scorecard.pvel.com/hail-stress-sequence/</x:v>
      </x:c>
      <x:c r="H35" t="str">
        <x:v>Current-year aggregate.</x:v>
      </x:c>
    </x:row>
    <x:row r="36">
      <x:c r="A36" t="str">
        <x:v>A_PVEL_2023_GG_50</x:v>
      </x:c>
      <x:c r="B36" t="str">
        <x:v>PVEL/Kiwa 2023 HSS</x:v>
      </x:c>
      <x:c r="C36" t="str">
        <x:v>2.0mm glass//glass</x:v>
      </x:c>
      <x:c r="D36" s="84" t="n">
        <x:v>50</x:v>
      </x:c>
      <x:c r="E36" s="84" t="n">
        <x:v>0.89</x:v>
      </x:c>
      <x:c r="F36" t="str">
        <x:v>fragile fit</x:v>
      </x:c>
      <x:c r="G36" t="str">
        <x:v>https://2023modulescorecard.pvel.com/hail-stress-sequence/</x:v>
      </x:c>
      <x:c r="H36" t="str">
        <x:v>Lab targeted impacts.</x:v>
      </x:c>
    </x:row>
    <x:row r="37">
      <x:c r="A37" t="str">
        <x:v>A_PVEL_2023_GBS_50</x:v>
      </x:c>
      <x:c r="B37" t="str">
        <x:v>PVEL/Kiwa 2023 HSS</x:v>
      </x:c>
      <x:c r="C37" t="str">
        <x:v>3.2mm glass//backsheet</x:v>
      </x:c>
      <x:c r="D37" s="84" t="n">
        <x:v>50</x:v>
      </x:c>
      <x:c r="E37" s="84" t="n">
        <x:v>0.39</x:v>
      </x:c>
      <x:c r="F37" t="str">
        <x:v>default fit</x:v>
      </x:c>
      <x:c r="G37" t="str">
        <x:v>https://2023modulescorecard.pvel.com/hail-stress-sequence/</x:v>
      </x:c>
      <x:c r="H37" t="str">
        <x:v>Default curve anchor; lab targeted impacts.</x:v>
      </x:c>
    </x:row>
    <x:row r="38">
      <x:c r="A38" t="str">
        <x:v>A_PVEL_2026_THICK_45</x:v>
      </x:c>
      <x:c r="B38" t="str">
        <x:v>Kiwa PVEL 2026 HSS</x:v>
      </x:c>
      <x:c r="C38" t="str">
        <x:v>thicker / hail-hardened designs</x:v>
      </x:c>
      <x:c r="D38" s="84" t="n">
        <x:v>45</x:v>
      </x:c>
      <x:c r="E38" s="84" t="n">
        <x:v>0.07</x:v>
      </x:c>
      <x:c r="F38" t="str">
        <x:v>hardened fit</x:v>
      </x:c>
      <x:c r="G38" t="str">
        <x:v>https://scorecard.pvel.com/hail-stress-sequence/</x:v>
      </x:c>
      <x:c r="H38" t="str">
        <x:v>Thicker-glass category, public aggregate only.</x:v>
      </x:c>
    </x:row>
  </x:sheetData>
  <x:mergeCells>
    <x:mergeCell ref="A1:J1"/>
    <x:mergeCell ref="A2:J2"/>
  </x:mergeCells>
  <x:pageMargins left="0.7" right="0.7" top="0.75" bottom="0.75" header="0.3" footer="0.3"/>
</x:worksheet>
</file>

<file path=xl/worksheets/sheet2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s>
  <x:sheetData>
    <x:row r="1">
      <x:c r="A1" s="99" t="str">
        <x:v>D_mm</x:v>
      </x:c>
      <x:c r="B1" s="99" t="str">
        <x:v>D_in</x:v>
      </x:c>
      <x:c r="C1" s="99" t="str">
        <x:v>mass_g_proxy</x:v>
      </x:c>
      <x:c r="D1" s="99" t="str">
        <x:v>velocity_mps_proxy</x:v>
      </x:c>
      <x:c r="E1" s="99" t="str">
        <x:v>KE_J_per_impact_proxy</x:v>
      </x:c>
      <x:c r="F1" s="99" t="str">
        <x:v>DR_fragile_thin_GG</x:v>
      </x:c>
      <x:c r="G1" s="99" t="str">
        <x:v>DR_default_3.2_GBS</x:v>
      </x:c>
      <x:c r="H1" s="99" t="str">
        <x:v>DR_hardened_thicker</x:v>
      </x:c>
      <x:c r="I1" s="99" t="str">
        <x:v>default_PV_ARRAY_loss_pct</x:v>
      </x:c>
      <x:c r="J1" s="99" t="str">
        <x:v>default_physical_base_loss_pct</x:v>
      </x:c>
      <x:c r="K1" s="99" t="str">
        <x:v>default_TIV_loss_pct</x:v>
      </x:c>
      <x:c r="L1" s="99" t="str">
        <x:v>default_loss_usd</x:v>
      </x:c>
      <x:c r="M1" s="99" t="str">
        <x:v>fragile_TIV_loss_pct</x:v>
      </x:c>
      <x:c r="N1" s="99" t="str">
        <x:v>hardened_TIV_loss_pct</x:v>
      </x:c>
      <x:c r="O1" s="24"/>
      <x:c r="P1" s="24"/>
      <x:c r="Q1" s="24"/>
      <x:c r="R1" s="24"/>
      <x:c r="S1" s="24"/>
      <x:c r="T1" s="24"/>
      <x:c r="U1" s="24"/>
      <x:c r="V1" s="24"/>
      <x:c r="W1" s="24"/>
      <x:c r="X1" s="24"/>
      <x:c r="Y1" s="24"/>
      <x:c r="Z1" s="24"/>
    </x:row>
    <x:row r="2">
      <x:c r="A2" t="n">
        <x:v>0</x:v>
      </x:c>
      <x:c r="B2" s="84" t="n">
        <x:f>A2/25.4</x:f>
        <x:v>0</x:v>
      </x:c>
      <x:c r="C2" s="84" t="n">
        <x:f>IF(A2=0,0,Hail_V1_Derivation!$B$22*A2^Hail_V1_Derivation!$B$23)</x:f>
        <x:v>0</x:v>
      </x:c>
      <x:c r="D2" s="84" t="n">
        <x:f>IF(A2=0,0,Hail_V1_Derivation!$B$24*A2^Hail_V1_Derivation!$B$25)</x:f>
        <x:v>0</x:v>
      </x:c>
      <x:c r="E2" s="84" t="n">
        <x:f>0.5*(C2/1000)*D2^2</x:f>
        <x:v>0</x:v>
      </x:c>
      <x:c r="F2" s="30" t="n">
        <x:f>1/(1+EXP(-Hail_V1_Derivation!$E$5*(A2-Hail_V1_Derivation!$D$5)))</x:f>
        <x:v>0.00011594862787987844</x:v>
      </x:c>
      <x:c r="G2" s="30" t="n">
        <x:f>1/(1+EXP(-Hail_V1_Derivation!$E$6*(A2-Hail_V1_Derivation!$D$6)))</x:f>
        <x:v>0.00015956055453832162</x:v>
      </x:c>
      <x:c r="H2" s="30" t="n">
        <x:f>1/(1+EXP(-Hail_V1_Derivation!$E$7*(A2-Hail_V1_Derivation!$D$7)))</x:f>
        <x:v>0.00017050521157988295</x:v>
      </x:c>
      <x:c r="I2" s="30" t="n">
        <x:f>G2*Hail_V1_Derivation!$B$14</x:f>
        <x:v>0.0001276484436306573</x:v>
      </x:c>
      <x:c r="J2" s="30" t="n">
        <x:f>G2*Hail_V1_Derivation!$B$17</x:f>
        <x:v>0.00004234826218490778</x:v>
      </x:c>
      <x:c r="K2" s="30" t="n">
        <x:f>G2*Hail_V1_Derivation!$B$18</x:f>
        <x:v>0.00003319028798967811</x:v>
      </x:c>
      <x:c r="L2" s="28" t="n">
        <x:f>G2*Hail_V1_Derivation!$B$16</x:f>
        <x:v>3717.3122548439487</x:v>
      </x:c>
      <x:c r="M2" s="30" t="n">
        <x:f>F2*Hail_V1_Derivation!$B$18</x:f>
        <x:v>0.00002411854460192995</x:v>
      </x:c>
      <x:c r="N2" s="30" t="n">
        <x:f>H2*Hail_V1_Derivation!$B$18</x:f>
        <x:v>0.00003546689275712041</x:v>
      </x:c>
    </x:row>
    <x:row r="3">
      <x:c r="A3" t="n">
        <x:v>5</x:v>
      </x:c>
      <x:c r="B3" s="84" t="n">
        <x:f>A3/25.4</x:f>
        <x:v>0.1968503937007874</x:v>
      </x:c>
      <x:c r="C3" s="84" t="n">
        <x:f>IF(A3=0,0,Hail_V1_Derivation!$B$22*A3^Hail_V1_Derivation!$B$23)</x:f>
        <x:v>0.06341906295511339</x:v>
      </x:c>
      <x:c r="D3" s="84" t="n">
        <x:f>IF(A3=0,0,Hail_V1_Derivation!$B$24*A3^Hail_V1_Derivation!$B$25)</x:f>
        <x:v>10.53212887951314</x:v>
      </x:c>
      <x:c r="E3" s="84" t="n">
        <x:f>0.5*(C3/1000)*D3^2</x:f>
        <x:v>0.003517403204078398</x:v>
      </x:c>
      <x:c r="F3" s="30" t="n">
        <x:f>1/(1+EXP(-Hail_V1_Derivation!$E$5*(A3-Hail_V1_Derivation!$D$5)))</x:f>
        <x:v>0.0003493516732760803</x:v>
      </x:c>
      <x:c r="G3" s="30" t="n">
        <x:f>1/(1+EXP(-Hail_V1_Derivation!$E$6*(A3-Hail_V1_Derivation!$D$6)))</x:f>
        <x:v>0.0003656873918796337</x:v>
      </x:c>
      <x:c r="H3" s="30" t="n">
        <x:f>1/(1+EXP(-Hail_V1_Derivation!$E$7*(A3-Hail_V1_Derivation!$D$7)))</x:f>
        <x:v>0.000335376848178869</x:v>
      </x:c>
      <x:c r="I3" s="30" t="n">
        <x:f>G3*Hail_V1_Derivation!$B$14</x:f>
        <x:v>0.00029254991350370694</x:v>
      </x:c>
      <x:c r="J3" s="30" t="n">
        <x:f>G3*Hail_V1_Derivation!$B$17</x:f>
        <x:v>0.00009705547585894433</x:v>
      </x:c>
      <x:c r="K3" s="30" t="n">
        <x:f>G3*Hail_V1_Derivation!$B$18</x:f>
        <x:v>0.00007606685678548651</x:v>
      </x:c>
      <x:c r="L3" s="28" t="n">
        <x:f>G3*Hail_V1_Derivation!$B$16</x:f>
        <x:v>8519.487959974489</x:v>
      </x:c>
      <x:c r="M3" s="30" t="n">
        <x:f>F3*Hail_V1_Derivation!$B$18</x:f>
        <x:v>0.00007266885402384493</x:v>
      </x:c>
      <x:c r="N3" s="30" t="n">
        <x:f>H3*Hail_V1_Derivation!$B$18</x:f>
        <x:v>0.00006976194215628541</x:v>
      </x:c>
    </x:row>
    <x:row r="4">
      <x:c r="A4" t="n">
        <x:v>10</x:v>
      </x:c>
      <x:c r="B4" s="84" t="n">
        <x:f>A4/25.4</x:f>
        <x:v>0.3937007874015748</x:v>
      </x:c>
      <x:c r="C4" s="84" t="n">
        <x:f>IF(A4=0,0,Hail_V1_Derivation!$B$22*A4^Hail_V1_Derivation!$B$23)</x:f>
        <x:v>0.4982900255755436</x:v>
      </x:c>
      <x:c r="D4" s="84" t="n">
        <x:f>IF(A4=0,0,Hail_V1_Derivation!$B$24*A4^Hail_V1_Derivation!$B$25)</x:f>
        <x:v>14.757416437108523</x:v>
      </x:c>
      <x:c r="E4" s="84" t="n">
        <x:f>0.5*(C4/1000)*D4^2</x:f>
        <x:v>0.054259134713885285</x:v>
      </x:c>
      <x:c r="F4" s="30" t="n">
        <x:f>1/(1+EXP(-Hail_V1_Derivation!$E$5*(A4-Hail_V1_Derivation!$D$5)))</x:f>
        <x:v>0.0010520975720447938</x:v>
      </x:c>
      <x:c r="G4" s="30" t="n">
        <x:f>1/(1+EXP(-Hail_V1_Derivation!$E$6*(A4-Hail_V1_Derivation!$D$6)))</x:f>
        <x:v>0.0008378741441447493</x:v>
      </x:c>
      <x:c r="H4" s="30" t="n">
        <x:f>1/(1+EXP(-Hail_V1_Derivation!$E$7*(A4-Hail_V1_Derivation!$D$7)))</x:f>
        <x:v>0.0006595675134952417</x:v>
      </x:c>
      <x:c r="I4" s="30" t="n">
        <x:f>G4*Hail_V1_Derivation!$B$14</x:f>
        <x:v>0.0006702993153157995</x:v>
      </x:c>
      <x:c r="J4" s="30" t="n">
        <x:f>G4*Hail_V1_Derivation!$B$17</x:f>
        <x:v>0.00022237647667284352</x:v>
      </x:c>
      <x:c r="K4" s="30" t="n">
        <x:f>G4*Hail_V1_Derivation!$B$18</x:f>
        <x:v>0.00017428671029461954</x:v>
      </x:c>
      <x:c r="L4" s="28" t="n">
        <x:f>G4*Hail_V1_Derivation!$B$16</x:f>
        <x:v>19520.111552997387</x:v>
      </x:c>
      <x:c r="M4" s="30" t="n">
        <x:f>F4*Hail_V1_Derivation!$B$18</x:f>
        <x:v>0.00021884745581666448</x:v>
      </x:c>
      <x:c r="N4" s="30" t="n">
        <x:f>H4*Hail_V1_Derivation!$B$18</x:f>
        <x:v>0.00013719703961222673</x:v>
      </x:c>
    </x:row>
    <x:row r="5">
      <x:c r="A5" t="n">
        <x:v>15</x:v>
      </x:c>
      <x:c r="B5" s="84" t="n">
        <x:f>A5/25.4</x:f>
        <x:v>0.5905511811023623</x:v>
      </x:c>
      <x:c r="C5" s="84" t="n">
        <x:f>IF(A5=0,0,Hail_V1_Derivation!$B$22*A5^Hail_V1_Derivation!$B$23)</x:f>
        <x:v>1.6640911478409262</x:v>
      </x:c>
      <x:c r="D5" s="84" t="n">
        <x:f>IF(A5=0,0,Hail_V1_Derivation!$B$24*A5^Hail_V1_Derivation!$B$25)</x:f>
        <x:v>17.976449850893292</x:v>
      </x:c>
      <x:c r="E5" s="84" t="n">
        <x:f>0.5*(C5/1000)*D5^2</x:f>
        <x:v>0.26887781470677036</x:v>
      </x:c>
      <x:c r="F5" s="30" t="n">
        <x:f>1/(1+EXP(-Hail_V1_Derivation!$E$5*(A5-Hail_V1_Derivation!$D$5)))</x:f>
        <x:v>0.00316399289314742</x:v>
      </x:c>
      <x:c r="G5" s="30" t="n">
        <x:f>1/(1+EXP(-Hail_V1_Derivation!$E$6*(A5-Hail_V1_Derivation!$D$6)))</x:f>
        <x:v>0.0019185926845235667</x:v>
      </x:c>
      <x:c r="H5" s="30" t="n">
        <x:f>1/(1+EXP(-Hail_V1_Derivation!$E$7*(A5-Hail_V1_Derivation!$D$7)))</x:f>
        <x:v>0.0012967292637721109</x:v>
      </x:c>
      <x:c r="I5" s="30" t="n">
        <x:f>G5*Hail_V1_Derivation!$B$14</x:f>
        <x:v>0.0015348741476188534</x:v>
      </x:c>
      <x:c r="J5" s="30" t="n">
        <x:f>G5*Hail_V1_Derivation!$B$17</x:f>
        <x:v>0.0005092052121863019</x:v>
      </x:c>
      <x:c r="K5" s="30" t="n">
        <x:f>G5*Hail_V1_Derivation!$B$18</x:f>
        <x:v>0.00039908763114089796</x:v>
      </x:c>
      <x:c r="L5" s="28" t="n">
        <x:f>G5*Hail_V1_Derivation!$B$16</x:f>
        <x:v>44697.81468778057</x:v>
      </x:c>
      <x:c r="M5" s="30" t="n">
        <x:f>F5*Hail_V1_Derivation!$B$18</x:f>
        <x:v>0.0006581440859535028</x:v>
      </x:c>
      <x:c r="N5" s="30" t="n">
        <x:f>H5*Hail_V1_Derivation!$B$18</x:f>
        <x:v>0.000269733442790856</x:v>
      </x:c>
    </x:row>
    <x:row r="6">
      <x:c r="A6" t="n">
        <x:v>20</x:v>
      </x:c>
      <x:c r="B6" s="84" t="n">
        <x:f>A6/25.4</x:f>
        <x:v>0.7874015748031497</x:v>
      </x:c>
      <x:c r="C6" s="84" t="n">
        <x:f>IF(A6=0,0,Hail_V1_Derivation!$B$22*A6^Hail_V1_Derivation!$B$23)</x:f>
        <x:v>3.915115393045339</x:v>
      </x:c>
      <x:c r="D6" s="84" t="n">
        <x:f>IF(A6=0,0,Hail_V1_Derivation!$B$24*A6^Hail_V1_Derivation!$B$25)</x:f>
        <x:v>20.67780810410174</x:v>
      </x:c>
      <x:c r="E6" s="84" t="n">
        <x:f>0.5*(C6/1000)*D6^2</x:f>
        <x:v>0.8369963660935845</x:v>
      </x:c>
      <x:c r="F6" s="30" t="n">
        <x:f>1/(1+EXP(-Hail_V1_Derivation!$E$5*(A6-Hail_V1_Derivation!$D$5)))</x:f>
        <x:v>0.009474926705559982</x:v>
      </x:c>
      <x:c r="G6" s="30" t="n">
        <x:f>1/(1+EXP(-Hail_V1_Derivation!$E$6*(A6-Hail_V1_Derivation!$D$6)))</x:f>
        <x:v>0.004387138150406361</x:v>
      </x:c>
      <x:c r="H6" s="30" t="n">
        <x:f>1/(1+EXP(-Hail_V1_Derivation!$E$7*(A6-Hail_V1_Derivation!$D$7)))</x:f>
        <x:v>0.0025478388600612733</x:v>
      </x:c>
      <x:c r="I6" s="30" t="n">
        <x:f>G6*Hail_V1_Derivation!$B$14</x:f>
        <x:v>0.0035097105203250887</x:v>
      </x:c>
      <x:c r="J6" s="30" t="n">
        <x:f>G6*Hail_V1_Derivation!$B$17</x:f>
        <x:v>0.0011643709635654302</x:v>
      </x:c>
      <x:c r="K6" s="30" t="n">
        <x:f>G6*Hail_V1_Derivation!$B$18</x:f>
        <x:v>0.0009125712747978679</x:v>
      </x:c>
      <x:c r="L6" s="28" t="n">
        <x:f>G6*Hail_V1_Derivation!$B$16</x:f>
        <x:v>102207.9827773612</x:v>
      </x:c>
      <x:c r="M6" s="30" t="n">
        <x:f>F6*Hail_V1_Derivation!$B$18</x:f>
        <x:v>0.0019708852664027336</x:v>
      </x:c>
      <x:c r="N6" s="30" t="n">
        <x:f>H6*Hail_V1_Derivation!$B$18</x:f>
        <x:v>0.000529977510804008</x:v>
      </x:c>
    </x:row>
    <x:row r="7">
      <x:c r="A7" t="n">
        <x:v>25</x:v>
      </x:c>
      <x:c r="B7" s="84" t="n">
        <x:f>A7/25.4</x:f>
        <x:v>0.984251968503937</x:v>
      </x:c>
      <x:c r="C7" s="84" t="n">
        <x:f>IF(A7=0,0,Hail_V1_Derivation!$B$22*A7^Hail_V1_Derivation!$B$23)</x:f>
        <x:v>7.602469334281021</x:v>
      </x:c>
      <x:c r="D7" s="84" t="n">
        <x:f>IF(A7=0,0,Hail_V1_Derivation!$B$24*A7^Hail_V1_Derivation!$B$25)</x:f>
        <x:v>23.049690008868424</x:v>
      </x:c>
      <x:c r="E7" s="84" t="n">
        <x:f>0.5*(C7/1000)*D7^2</x:f>
        <x:v>2.019551160213146</x:v>
      </x:c>
      <x:c r="F7" s="30" t="n">
        <x:f>1/(1+EXP(-Hail_V1_Derivation!$E$5*(A7-Hail_V1_Derivation!$D$5)))</x:f>
        <x:v>0.028019886297720568</x:v>
      </x:c>
      <x:c r="G7" s="30" t="n">
        <x:f>1/(1+EXP(-Hail_V1_Derivation!$E$6*(A7-Hail_V1_Derivation!$D$6)))</x:f>
        <x:v>0.010000000000000028</x:v>
      </x:c>
      <x:c r="H7" s="30" t="n">
        <x:f>1/(1+EXP(-Hail_V1_Derivation!$E$7*(A7-Hail_V1_Derivation!$D$7)))</x:f>
        <x:v>0.005000000000000014</x:v>
      </x:c>
      <x:c r="I7" s="30" t="n">
        <x:f>G7*Hail_V1_Derivation!$B$14</x:f>
        <x:v>0.008000000000000023</x:v>
      </x:c>
      <x:c r="J7" s="30" t="n">
        <x:f>G7*Hail_V1_Derivation!$B$17</x:f>
        <x:v>0.0026540558415229826</x:v>
      </x:c>
      <x:c r="K7" s="30" t="n">
        <x:f>G7*Hail_V1_Derivation!$B$18</x:f>
        <x:v>0.0020801060817137547</x:v>
      </x:c>
      <x:c r="L7" s="28" t="n">
        <x:f>G7*Hail_V1_Derivation!$B$16</x:f>
        <x:v>232971.88115194056</x:v>
      </x:c>
      <x:c r="M7" s="30" t="n">
        <x:f>F7*Hail_V1_Derivation!$B$18</x:f>
        <x:v>0.005828433589681629</x:v>
      </x:c>
      <x:c r="N7" s="30" t="n">
        <x:f>H7*Hail_V1_Derivation!$B$18</x:f>
        <x:v>0.0010400530408568773</x:v>
      </x:c>
    </x:row>
    <x:row r="8">
      <x:c r="A8" t="n">
        <x:v>30</x:v>
      </x:c>
      <x:c r="B8" s="84" t="n">
        <x:f>A8/25.4</x:f>
        <x:v>1.1811023622047245</x:v>
      </x:c>
      <x:c r="C8" s="84" t="n">
        <x:f>IF(A8=0,0,Hail_V1_Derivation!$B$22*A8^Hail_V1_Derivation!$B$23)</x:f>
        <x:v>13.074933339910434</x:v>
      </x:c>
      <x:c r="D8" s="84" t="n">
        <x:f>IF(A8=0,0,Hail_V1_Derivation!$B$24*A8^Hail_V1_Derivation!$B$25)</x:f>
        <x:v>25.188255816585954</x:v>
      </x:c>
      <x:c r="E8" s="84" t="n">
        <x:f>0.5*(C8/1000)*D8^2</x:f>
        <x:v>4.147684164509157</x:v>
      </x:c>
      <x:c r="F8" s="30" t="n">
        <x:f>1/(1+EXP(-Hail_V1_Derivation!$E$5*(A8-Hail_V1_Derivation!$D$5)))</x:f>
        <x:v>0.0799331580994263</x:v>
      </x:c>
      <x:c r="G8" s="30" t="n">
        <x:f>1/(1+EXP(-Hail_V1_Derivation!$E$6*(A8-Hail_V1_Derivation!$D$6)))</x:f>
        <x:v>0.02263067476729788</x:v>
      </x:c>
      <x:c r="H8" s="30" t="n">
        <x:f>1/(1+EXP(-Hail_V1_Derivation!$E$7*(A8-Hail_V1_Derivation!$D$7)))</x:f>
        <x:v>0.009789075518707436</x:v>
      </x:c>
      <x:c r="I8" s="30" t="n">
        <x:f>G8*Hail_V1_Derivation!$B$14</x:f>
        <x:v>0.018104539813838305</x:v>
      </x:c>
      <x:c r="J8" s="30" t="n">
        <x:f>G8*Hail_V1_Derivation!$B$17</x:f>
        <x:v>0.006006307456375354</x:v>
      </x:c>
      <x:c r="K8" s="30" t="n">
        <x:f>G8*Hail_V1_Derivation!$B$18</x:f>
        <x:v>0.00470742042167422</x:v>
      </x:c>
      <x:c r="L8" s="28" t="n">
        <x:f>G8*Hail_V1_Derivation!$B$16</x:f>
        <x:v>527231.0872275127</x:v>
      </x:c>
      <x:c r="M8" s="30" t="n">
        <x:f>F8*Hail_V1_Derivation!$B$18</x:f>
        <x:v>0.016626944829320325</x:v>
      </x:c>
      <x:c r="N8" s="30" t="n">
        <x:f>H8*Hail_V1_Derivation!$B$18</x:f>
        <x:v>0.002036231552081851</x:v>
      </x:c>
    </x:row>
    <x:row r="9">
      <x:c r="A9" t="n">
        <x:v>35</x:v>
      </x:c>
      <x:c r="B9" s="84" t="n">
        <x:f>A9/25.4</x:f>
        <x:v>1.3779527559055118</x:v>
      </x:c>
      <x:c r="C9" s="84" t="n">
        <x:f>IF(A9=0,0,Hail_V1_Derivation!$B$22*A9^Hail_V1_Derivation!$B$23)</x:f>
        <x:v>20.679453159700085</x:v>
      </x:c>
      <x:c r="D9" s="84" t="n">
        <x:f>IF(A9=0,0,Hail_V1_Derivation!$B$24*A9^Hail_V1_Derivation!$B$25)</x:f>
        <x:v>27.150466005501855</x:v>
      </x:c>
      <x:c r="E9" s="84" t="n">
        <x:f>0.5*(C9/1000)*D9^2</x:f>
        <x:v>7.62190674556333</x:v>
      </x:c>
      <x:c r="F9" s="30" t="n">
        <x:f>1/(1+EXP(-Hail_V1_Derivation!$E$5*(A9-Hail_V1_Derivation!$D$5)))</x:f>
        <x:v>0.20749521608119276</x:v>
      </x:c>
      <x:c r="G9" s="30" t="n">
        <x:f>1/(1+EXP(-Hail_V1_Derivation!$E$6*(A9-Hail_V1_Derivation!$D$6)))</x:f>
        <x:v>0.05040253045391812</x:v>
      </x:c>
      <x:c r="H9" s="30" t="n">
        <x:f>1/(1+EXP(-Hail_V1_Derivation!$E$7*(A9-Hail_V1_Derivation!$D$7)))</x:f>
        <x:v>0.01907725187549938</x:v>
      </x:c>
      <x:c r="I9" s="30" t="n">
        <x:f>G9*Hail_V1_Derivation!$B$14</x:f>
        <x:v>0.0403220243631345</x:v>
      </x:c>
      <x:c r="J9" s="30" t="n">
        <x:f>G9*Hail_V1_Derivation!$B$17</x:f>
        <x:v>0.013377113037876105</x:v>
      </x:c>
      <x:c r="K9" s="30" t="n">
        <x:f>G9*Hail_V1_Derivation!$B$18</x:f>
        <x:v>0.010484261013095752</x:v>
      </x:c>
      <x:c r="L9" s="28" t="n">
        <x:f>G9*Hail_V1_Derivation!$B$16</x:f>
        <x:v>1174237.2334667244</x:v>
      </x:c>
      <x:c r="M9" s="30" t="n">
        <x:f>F9*Hail_V1_Derivation!$B$18</x:f>
        <x:v>0.043161206089699755</x:v>
      </x:c>
      <x:c r="N9" s="30" t="n">
        <x:f>H9*Hail_V1_Derivation!$B$18</x:f>
        <x:v>0.003968270764861129</x:v>
      </x:c>
    </x:row>
    <x:row r="10">
      <x:c r="A10" t="n">
        <x:v>40</x:v>
      </x:c>
      <x:c r="B10" s="84" t="n">
        <x:f>A10/25.4</x:f>
        <x:v>1.5748031496062993</x:v>
      </x:c>
      <x:c r="C10" s="84" t="n">
        <x:f>IF(A10=0,0,Hail_V1_Derivation!$B$22*A10^Hail_V1_Derivation!$B$23)</x:f>
        <x:v>30.761459700414434</x:v>
      </x:c>
      <x:c r="D10" s="84" t="n">
        <x:f>IF(A10=0,0,Hail_V1_Derivation!$B$24*A10^Hail_V1_Derivation!$B$25)</x:f>
        <x:v>28.973347049751712</x:v>
      </x:c>
      <x:c r="E10" s="84" t="n">
        <x:f>0.5*(C10/1000)*D10^2</x:f>
        <x:v>12.911428104189564</x:v>
      </x:c>
      <x:c r="F10" s="30" t="n">
        <x:f>1/(1+EXP(-Hail_V1_Derivation!$E$5*(A10-Hail_V1_Derivation!$D$5)))</x:f>
        <x:v>0.44104428563083103</x:v>
      </x:c>
      <x:c r="G10" s="30" t="n">
        <x:f>1/(1+EXP(-Hail_V1_Derivation!$E$6*(A10-Hail_V1_Derivation!$D$6)))</x:f>
        <x:v>0.10847291856463541</x:v>
      </x:c>
      <x:c r="H10" s="30" t="n">
        <x:f>1/(1+EXP(-Hail_V1_Derivation!$E$7*(A10-Hail_V1_Derivation!$D$7)))</x:f>
        <x:v>0.036850366635562154</x:v>
      </x:c>
      <x:c r="I10" s="30" t="n">
        <x:f>G10*Hail_V1_Derivation!$B$14</x:f>
        <x:v>0.08677833485170833</x:v>
      </x:c>
      <x:c r="J10" s="30" t="n">
        <x:f>G10*Hail_V1_Derivation!$B$17</x:f>
        <x:v>0.02878931831635166</x:v>
      </x:c>
      <x:c r="K10" s="30" t="n">
        <x:f>G10*Hail_V1_Derivation!$B$18</x:f>
        <x:v>0.022563517760753833</x:v>
      </x:c>
      <x:c r="L10" s="28" t="n">
        <x:f>G10*Hail_V1_Derivation!$B$16</x:f>
        <x:v>2527113.9892044296</x:v>
      </x:c>
      <x:c r="M10" s="30" t="n">
        <x:f>F10*Hail_V1_Derivation!$B$18</x:f>
        <x:v>0.09174189008457875</x:v>
      </x:c>
      <x:c r="N10" s="30" t="n">
        <x:f>H10*Hail_V1_Derivation!$B$18</x:f>
        <x:v>0.007665267175201426</x:v>
      </x:c>
    </x:row>
    <x:row r="11">
      <x:c r="A11" t="n">
        <x:v>45</x:v>
      </x:c>
      <x:c r="B11" s="84" t="n">
        <x:f>A11/25.4</x:f>
        <x:v>1.7716535433070868</x:v>
      </x:c>
      <x:c r="C11" s="84" t="n">
        <x:f>IF(A11=0,0,Hail_V1_Derivation!$B$22*A11^Hail_V1_Derivation!$B$23)</x:f>
        <x:v>43.6650940472348</x:v>
      </x:c>
      <x:c r="D11" s="84" t="n">
        <x:f>IF(A11=0,0,Hail_V1_Derivation!$B$24*A11^Hail_V1_Derivation!$B$25)</x:f>
        <x:v>30.68256692816122</x:v>
      </x:c>
      <x:c r="E11" s="84" t="n">
        <x:f>0.5*(C11/1000)*D11^2</x:f>
        <x:v>20.55359452611592</x:v>
      </x:c>
      <x:c r="F11" s="30" t="n">
        <x:f>1/(1+EXP(-Hail_V1_Derivation!$E$5*(A11-Hail_V1_Derivation!$D$5)))</x:f>
        <x:v>0.7039627905481787</x:v>
      </x:c>
      <x:c r="G11" s="30" t="n">
        <x:f>1/(1+EXP(-Hail_V1_Derivation!$E$6*(A11-Hail_V1_Derivation!$D$6)))</x:f>
        <x:v>0.21808285131604127</x:v>
      </x:c>
      <x:c r="H11" s="30" t="n">
        <x:f>1/(1+EXP(-Hail_V1_Derivation!$E$7*(A11-Hail_V1_Derivation!$D$7)))</x:f>
        <x:v>0.07000000000000005</x:v>
      </x:c>
      <x:c r="I11" s="30" t="n">
        <x:f>G11*Hail_V1_Derivation!$B$14</x:f>
        <x:v>0.17446628105283302</x:v>
      </x:c>
      <x:c r="J11" s="30" t="n">
        <x:f>G11*Hail_V1_Derivation!$B$17</x:f>
        <x:v>0.057880406547132585</x:v>
      </x:c>
      <x:c r="K11" s="30" t="n">
        <x:f>G11*Hail_V1_Derivation!$B$18</x:f>
        <x:v>0.045363546533997275</x:v>
      </x:c>
      <x:c r="L11" s="28" t="n">
        <x:f>G11*Hail_V1_Derivation!$B$16</x:f>
        <x:v>5080717.211807694</x:v>
      </x:c>
      <x:c r="M11" s="30" t="n">
        <x:f>F11*Hail_V1_Derivation!$B$18</x:f>
        <x:v>0.14643172819194486</x:v>
      </x:c>
      <x:c r="N11" s="30" t="n">
        <x:f>H11*Hail_V1_Derivation!$B$18</x:f>
        <x:v>0.014560742571996252</x:v>
      </x:c>
    </x:row>
    <x:row r="12">
      <x:c r="A12" t="n">
        <x:v>50</x:v>
      </x:c>
      <x:c r="B12" s="84" t="n">
        <x:f>A12/25.4</x:f>
        <x:v>1.968503937007874</x:v>
      </x:c>
      <x:c r="C12" s="84" t="n">
        <x:f>IF(A12=0,0,Hail_V1_Derivation!$B$22*A12^Hail_V1_Derivation!$B$23)</x:f>
        <x:v>59.73337451701872</x:v>
      </x:c>
      <x:c r="D12" s="84" t="n">
        <x:f>IF(A12=0,0,Hail_V1_Derivation!$B$24*A12^Hail_V1_Derivation!$B$25)</x:f>
        <x:v>32.296782359812426</x:v>
      </x:c>
      <x:c r="E12" s="84" t="n">
        <x:f>0.5*(C12/1000)*D12^2</x:f>
        <x:v>31.15340838279002</x:v>
      </x:c>
      <x:c r="F12" s="30" t="n">
        <x:f>1/(1+EXP(-Hail_V1_Derivation!$E$5*(A12-Hail_V1_Derivation!$D$5)))</x:f>
        <x:v>0.8775472596460155</x:v>
      </x:c>
      <x:c r="G12" s="30" t="n">
        <x:f>1/(1+EXP(-Hail_V1_Derivation!$E$6*(A12-Hail_V1_Derivation!$D$6)))</x:f>
        <x:v>0.39</x:v>
      </x:c>
      <x:c r="H12" s="30" t="n">
        <x:f>1/(1+EXP(-Hail_V1_Derivation!$E$7*(A12-Hail_V1_Derivation!$D$7)))</x:f>
        <x:v>0.12897686688613344</x:v>
      </x:c>
      <x:c r="I12" s="30" t="n">
        <x:f>G12*Hail_V1_Derivation!$B$14</x:f>
        <x:v>0.31200000000000006</x:v>
      </x:c>
      <x:c r="J12" s="30" t="n">
        <x:f>G12*Hail_V1_Derivation!$B$17</x:f>
        <x:v>0.10350817781939604</x:v>
      </x:c>
      <x:c r="K12" s="30" t="n">
        <x:f>G12*Hail_V1_Derivation!$B$18</x:f>
        <x:v>0.08112413718683621</x:v>
      </x:c>
      <x:c r="L12" s="28" t="n">
        <x:f>G12*Hail_V1_Derivation!$B$16</x:f>
        <x:v>9085903.364925656</x:v>
      </x:c>
      <x:c r="M12" s="30" t="n">
        <x:f>F12*Hail_V1_Derivation!$B$18</x:f>
        <x:v>0.18253913917809114</x:v>
      </x:c>
      <x:c r="N12" s="30" t="n">
        <x:f>H12*Hail_V1_Derivation!$B$18</x:f>
        <x:v>0.026828556521023082</x:v>
      </x:c>
    </x:row>
    <x:row r="13">
      <x:c r="A13" t="n">
        <x:v>55</x:v>
      </x:c>
      <x:c r="B13" s="84" t="n">
        <x:f>A13/25.4</x:f>
        <x:v>2.1653543307086616</x:v>
      </x:c>
      <x:c r="C13" s="84" t="n">
        <x:f>IF(A13=0,0,Hail_V1_Derivation!$B$22*A13^Hail_V1_Derivation!$B$23)</x:f>
        <x:v>79.30832561607026</x:v>
      </x:c>
      <x:c r="D13" s="84" t="n">
        <x:f>IF(A13=0,0,Hail_V1_Derivation!$B$24*A13^Hail_V1_Derivation!$B$25)</x:f>
        <x:v>33.83005635191941</x:v>
      </x:c>
      <x:c r="E13" s="84" t="n">
        <x:f>0.5*(C13/1000)*D13^2</x:f>
        <x:v>45.38310728169552</x:v>
      </x:c>
      <x:c r="F13" s="30" t="n">
        <x:f>1/(1+EXP(-Hail_V1_Derivation!$E$5*(A13-Hail_V1_Derivation!$D$5)))</x:f>
        <x:v>0.9557470373347705</x:v>
      </x:c>
      <x:c r="G13" s="30" t="n">
        <x:f>1/(1+EXP(-Hail_V1_Derivation!$E$6*(A13-Hail_V1_Derivation!$D$6)))</x:f>
        <x:v>0.5944154940093985</x:v>
      </x:c>
      <x:c r="H13" s="30" t="n">
        <x:f>1/(1+EXP(-Hail_V1_Derivation!$E$7*(A13-Hail_V1_Derivation!$D$7)))</x:f>
        <x:v>0.22559011406408977</x:v>
      </x:c>
      <x:c r="I13" s="30" t="n">
        <x:f>G13*Hail_V1_Derivation!$B$14</x:f>
        <x:v>0.47553239520751883</x:v>
      </x:c>
      <x:c r="J13" s="30" t="n">
        <x:f>G13*Hail_V1_Derivation!$B$17</x:f>
        <x:v>0.15776119141674094</x:v>
      </x:c>
      <x:c r="K13" s="30" t="n">
        <x:f>G13*Hail_V1_Derivation!$B$18</x:f>
        <x:v>0.12364472841538324</x:v>
      </x:c>
      <x:c r="L13" s="28" t="n">
        <x:f>G13*Hail_V1_Derivation!$B$16</x:f>
        <x:v>13848209.582522923</x:v>
      </x:c>
      <x:c r="M13" s="30" t="n">
        <x:f>F13*Hail_V1_Derivation!$B$18</x:f>
        <x:v>0.19880552249399536</x:v>
      </x:c>
      <x:c r="N13" s="30" t="n">
        <x:f>H13*Hail_V1_Derivation!$B$18</x:f>
        <x:v>0.046925136823921146</x:v>
      </x:c>
    </x:row>
    <x:row r="14">
      <x:c r="A14" t="n">
        <x:v>60</x:v>
      </x:c>
      <x:c r="B14" s="84" t="n">
        <x:f>A14/25.4</x:f>
        <x:v>2.362204724409449</x:v>
      </x:c>
      <x:c r="C14" s="84" t="n">
        <x:f>IF(A14=0,0,Hail_V1_Derivation!$B$22*A14^Hail_V1_Derivation!$B$23)</x:f>
        <x:v>102.73108060511312</x:v>
      </x:c>
      <x:c r="D14" s="84" t="n">
        <x:f>IF(A14=0,0,Hail_V1_Derivation!$B$24*A14^Hail_V1_Derivation!$B$25)</x:f>
        <x:v>35.29329964171145</x:v>
      </x:c>
      <x:c r="E14" s="84" t="n">
        <x:f>0.5*(C14/1000)*D14^2</x:f>
        <x:v>63.98179019448434</x:v>
      </x:c>
      <x:c r="F14" s="30" t="n">
        <x:f>1/(1+EXP(-Hail_V1_Derivation!$E$5*(A14-Hail_V1_Derivation!$D$5)))</x:f>
        <x:v>0.9848686011388115</x:v>
      </x:c>
      <x:c r="G14" s="30" t="n">
        <x:f>1/(1+EXP(-Hail_V1_Derivation!$E$6*(A14-Hail_V1_Derivation!$D$6)))</x:f>
        <x:v>0.7706191985599966</x:v>
      </x:c>
      <x:c r="H14" s="30" t="n">
        <x:f>1/(1+EXP(-Hail_V1_Derivation!$E$7*(A14-Hail_V1_Derivation!$D$7)))</x:f>
        <x:v>0.36430493656044316</x:v>
      </x:c>
      <x:c r="I14" s="30" t="n">
        <x:f>G14*Hail_V1_Derivation!$B$14</x:f>
        <x:v>0.6164953588479973</x:v>
      </x:c>
      <x:c r="J14" s="30" t="n">
        <x:f>G14*Hail_V1_Derivation!$B$17</x:f>
        <x:v>0.20452663855279127</x:v>
      </x:c>
      <x:c r="K14" s="30" t="n">
        <x:f>G14*Hail_V1_Derivation!$B$18</x:f>
        <x:v>0.16029696816100242</x:v>
      </x:c>
      <x:c r="L14" s="28" t="n">
        <x:f>G14*Hail_V1_Derivation!$B$16</x:f>
        <x:v>17953260.43403227</x:v>
      </x:c>
      <x:c r="M14" s="30" t="n">
        <x:f>F14*Hail_V1_Derivation!$B$18</x:f>
        <x:v>0.20486311669177543</x:v>
      </x:c>
      <x:c r="N14" s="30" t="n">
        <x:f>H14*Hail_V1_Derivation!$B$18</x:f>
        <x:v>0.07577929141377193</x:v>
      </x:c>
    </x:row>
    <x:row r="15">
      <x:c r="A15" t="n">
        <x:v>65</x:v>
      </x:c>
      <x:c r="B15" s="84" t="n">
        <x:f>A15/25.4</x:f>
        <x:v>2.5590551181102366</x:v>
      </x:c>
      <x:c r="C15" s="84" t="n">
        <x:f>IF(A15=0,0,Hail_V1_Derivation!$B$22*A15^Hail_V1_Derivation!$B$23)</x:f>
        <x:v>130.34196501963117</x:v>
      </x:c>
      <x:c r="D15" s="84" t="n">
        <x:f>IF(A15=0,0,Hail_V1_Derivation!$B$24*A15^Hail_V1_Derivation!$B$25)</x:f>
        <x:v>36.69517829543376</x:v>
      </x:c>
      <x:c r="E15" s="84" t="n">
        <x:f>0.5*(C15/1000)*D15^2</x:f>
        <x:v>87.75508128235673</x:v>
      </x:c>
      <x:c r="F15" s="30" t="n">
        <x:f>1/(1+EXP(-Hail_V1_Derivation!$E$5*(A15-Hail_V1_Derivation!$D$5)))</x:f>
        <x:v>0.994927830438752</x:v>
      </x:c>
      <x:c r="G15" s="30" t="n">
        <x:f>1/(1+EXP(-Hail_V1_Derivation!$E$6*(A15-Hail_V1_Derivation!$D$6)))</x:f>
        <x:v>0.8850729367231496</x:v>
      </x:c>
      <x:c r="H15" s="30" t="n">
        <x:f>1/(1+EXP(-Hail_V1_Derivation!$E$7*(A15-Hail_V1_Derivation!$D$7)))</x:f>
        <x:v>0.5299456521739128</x:v>
      </x:c>
      <x:c r="I15" s="30" t="n">
        <x:f>G15*Hail_V1_Derivation!$B$14</x:f>
        <x:v>0.7080583493785197</x:v>
      </x:c>
      <x:c r="J15" s="30" t="n">
        <x:f>G15*Hail_V1_Derivation!$B$17</x:f>
        <x:v>0.234903299788397</x:v>
      </x:c>
      <x:c r="K15" s="30" t="n">
        <x:f>G15*Hail_V1_Derivation!$B$18</x:f>
        <x:v>0.18410455984380716</x:v>
      </x:c>
      <x:c r="L15" s="28" t="n">
        <x:f>G15*Hail_V1_Derivation!$B$16</x:f>
        <x:v>20619710.7025064</x:v>
      </x:c>
      <x:c r="M15" s="30" t="n">
        <x:f>F15*Hail_V1_Derivation!$B$18</x:f>
        <x:v>0.20695554309619135</x:v>
      </x:c>
      <x:c r="N15" s="30" t="n">
        <x:f>H15*Hail_V1_Derivation!$B$18</x:f>
        <x:v>0.1102343174064715</x:v>
      </x:c>
    </x:row>
    <x:row r="16">
      <x:c r="A16" t="n">
        <x:v>70</x:v>
      </x:c>
      <x:c r="B16" s="84" t="n">
        <x:f>A16/25.4</x:f>
        <x:v>2.7559055118110236</x:v>
      </x:c>
      <x:c r="C16" s="84" t="n">
        <x:f>IF(A16=0,0,Hail_V1_Derivation!$B$22*A16^Hail_V1_Derivation!$B$23)</x:f>
        <x:v>162.4805659952499</x:v>
      </x:c>
      <x:c r="D16" s="84" t="n">
        <x:f>IF(A16=0,0,Hail_V1_Derivation!$B$24*A16^Hail_V1_Derivation!$B$25)</x:f>
        <x:v>38.04271082213255</x:v>
      </x:c>
      <x:c r="E16" s="84" t="n">
        <x:f>0.5*(C16/1000)*D16^2</x:f>
        <x:v>117.57482463331895</x:v>
      </x:c>
      <x:c r="F16" s="30" t="n">
        <x:f>1/(1+EXP(-Hail_V1_Derivation!$E$5*(A16-Hail_V1_Derivation!$D$5)))</x:f>
        <x:v>0.9983112337577472</x:v>
      </x:c>
      <x:c r="G16" s="30" t="n">
        <x:f>1/(1+EXP(-Hail_V1_Derivation!$E$6*(A16-Hail_V1_Derivation!$D$6)))</x:f>
        <x:v>0.9463907488182206</x:v>
      </x:c>
      <x:c r="H16" s="30" t="n">
        <x:f>1/(1+EXP(-Hail_V1_Derivation!$E$7*(A16-Hail_V1_Derivation!$D$7)))</x:f>
        <x:v>0.6892424364912862</x:v>
      </x:c>
      <x:c r="I16" s="30" t="n">
        <x:f>G16*Hail_V1_Derivation!$B$14</x:f>
        <x:v>0.7571125990545765</x:v>
      </x:c>
      <x:c r="J16" s="30" t="n">
        <x:f>G16*Hail_V1_Derivation!$B$17</x:f>
        <x:v>0.25117738952643015</x:v>
      </x:c>
      <x:c r="K16" s="30" t="n">
        <x:f>G16*Hail_V1_Derivation!$B$18</x:f>
        <x:v>0.19685931522944097</x:v>
      </x:c>
      <x:c r="L16" s="28" t="n">
        <x:f>G16*Hail_V1_Derivation!$B$16</x:f>
        <x:v>22048243.30569739</x:v>
      </x:c>
      <x:c r="M16" s="30" t="n">
        <x:f>F16*Hail_V1_Derivation!$B$18</x:f>
        <x:v>0.2076593268782646</x:v>
      </x:c>
      <x:c r="N16" s="30" t="n">
        <x:f>H16*Hail_V1_Derivation!$B$18</x:f>
        <x:v>0.1433697383920727</x:v>
      </x:c>
    </x:row>
    <x:row r="17">
      <x:c r="A17" t="n">
        <x:v>75</x:v>
      </x:c>
      <x:c r="B17" s="84" t="n">
        <x:f>A17/25.4</x:f>
        <x:v>2.952755905511811</x:v>
      </x:c>
      <x:c r="C17" s="84" t="n">
        <x:f>IF(A17=0,0,Hail_V1_Derivation!$B$22*A17^Hail_V1_Derivation!$B$23)</x:f>
        <x:v>199.48579072925418</x:v>
      </x:c>
      <x:c r="D17" s="84" t="n">
        <x:f>IF(A17=0,0,Hail_V1_Derivation!$B$24*A17^Hail_V1_Derivation!$B$25)</x:f>
        <x:v>39.34167548301149</x:v>
      </x:c>
      <x:c r="E17" s="84" t="n">
        <x:f>0.5*(C17/1000)*D17^2</x:f>
        <x:v>154.37880480037524</x:v>
      </x:c>
      <x:c r="F17" s="30" t="n">
        <x:f>1/(1+EXP(-Hail_V1_Derivation!$E$5*(A17-Hail_V1_Derivation!$D$5)))</x:f>
        <x:v>0.9994390020544067</x:v>
      </x:c>
      <x:c r="G17" s="30" t="n">
        <x:f>1/(1+EXP(-Hail_V1_Derivation!$E$6*(A17-Hail_V1_Derivation!$D$6)))</x:f>
        <x:v>0.9758846403110824</x:v>
      </x:c>
      <x:c r="H17" s="30" t="n">
        <x:f>1/(1+EXP(-Hail_V1_Derivation!$E$7*(A17-Hail_V1_Derivation!$D$7)))</x:f>
        <x:v>0.8135484218315793</x:v>
      </x:c>
      <x:c r="I17" s="30" t="n">
        <x:f>G17*Hail_V1_Derivation!$B$14</x:f>
        <x:v>0.7807077122488659</x:v>
      </x:c>
      <x:c r="J17" s="30" t="n">
        <x:f>G17*Hail_V1_Derivation!$B$17</x:f>
        <x:v>0.25900523302701756</x:v>
      </x:c>
      <x:c r="K17" s="30" t="n">
        <x:f>G17*Hail_V1_Derivation!$B$18</x:f>
        <x:v>0.20299435753621167</x:v>
      </x:c>
      <x:c r="L17" s="28" t="n">
        <x:f>G17*Hail_V1_Derivation!$B$16</x:f>
        <x:v>22735368.044055708</x:v>
      </x:c>
      <x:c r="M17" s="30" t="n">
        <x:f>F17*Hail_V1_Derivation!$B$18</x:f>
        <x:v>0.20789391464752915</x:v>
      </x:c>
      <x:c r="N17" s="30" t="n">
        <x:f>H17*Hail_V1_Derivation!$B$18</x:f>
        <x:v>0.16922670200204906</x:v>
      </x:c>
    </x:row>
    <x:row r="18">
      <x:c r="A18" t="n">
        <x:v>76</x:v>
      </x:c>
      <x:c r="B18" s="84" t="n">
        <x:f>A18/25.4</x:f>
        <x:v>2.9921259842519685</x:v>
      </x:c>
      <x:c r="C18" s="84" t="n">
        <x:f>IF(A18=0,0,Hail_V1_Derivation!$B$22*A18^Hail_V1_Derivation!$B$23)</x:f>
        <x:v>207.50060950358903</x:v>
      </x:c>
      <x:c r="D18" s="84" t="n">
        <x:f>IF(A18=0,0,Hail_V1_Derivation!$B$24*A18^Hail_V1_Derivation!$B$25)</x:f>
        <x:v>39.596079069505116</x:v>
      </x:c>
      <x:c r="E18" s="84" t="n">
        <x:f>0.5*(C18/1000)*D18^2</x:f>
        <x:v>162.66486111408636</x:v>
      </x:c>
      <x:c r="F18" s="30" t="n">
        <x:f>1/(1+EXP(-Hail_V1_Derivation!$E$5*(A18-Hail_V1_Derivation!$D$5)))</x:f>
        <x:v>0.9995500235443193</x:v>
      </x:c>
      <x:c r="G18" s="30" t="n">
        <x:f>1/(1+EXP(-Hail_V1_Derivation!$E$6*(A18-Hail_V1_Derivation!$D$6)))</x:f>
        <x:v>0.9794957902205231</x:v>
      </x:c>
      <x:c r="H18" s="30" t="n">
        <x:f>1/(1+EXP(-Hail_V1_Derivation!$E$7*(A18-Hail_V1_Derivation!$D$7)))</x:f>
        <x:v>0.8332120116979678</x:v>
      </x:c>
      <x:c r="I18" s="30" t="n">
        <x:f>G18*Hail_V1_Derivation!$B$14</x:f>
        <x:v>0.7835966321764185</x:v>
      </x:c>
      <x:c r="J18" s="30" t="n">
        <x:f>G18*Hail_V1_Derivation!$B$17</x:f>
        <x:v>0.25996365237819424</x:v>
      </x:c>
      <x:c r="K18" s="30" t="n">
        <x:f>G18*Hail_V1_Derivation!$B$18</x:f>
        <x:v>0.20374551502507246</x:v>
      </x:c>
      <x:c r="L18" s="28" t="n">
        <x:f>G18*Hail_V1_Derivation!$B$16</x:f>
        <x:v>22819497.682808116</x:v>
      </x:c>
      <x:c r="M18" s="30" t="n">
        <x:f>F18*Hail_V1_Derivation!$B$18</x:f>
        <x:v>0.20791700829516596</x:v>
      </x:c>
      <x:c r="N18" s="30" t="n">
        <x:f>H18*Hail_V1_Derivation!$B$18</x:f>
        <x:v>0.173316937288989</x:v>
      </x:c>
    </x:row>
    <x:row r="19">
      <x:c r="A19" t="n">
        <x:v>80</x:v>
      </x:c>
      <x:c r="B19" s="84" t="n">
        <x:f>A19/25.4</x:f>
        <x:v>3.1496062992125986</x:v>
      </x:c>
      <x:c r="C19" s="84" t="n">
        <x:f>IF(A19=0,0,Hail_V1_Derivation!$B$22*A19^Hail_V1_Derivation!$B$23)</x:f>
        <x:v>241.6959164424973</x:v>
      </x:c>
      <x:c r="D19" s="84" t="n">
        <x:f>IF(A19=0,0,Hail_V1_Derivation!$B$24*A19^Hail_V1_Derivation!$B$25)</x:f>
        <x:v>40.596896684559056</x:v>
      </x:c>
      <x:c r="E19" s="84" t="n">
        <x:f>0.5*(C19/1000)*D19^2</x:f>
        <x:v>199.17048919542967</x:v>
      </x:c>
      <x:c r="F19" s="30" t="n">
        <x:f>1/(1+EXP(-Hail_V1_Derivation!$E$5*(A19-Hail_V1_Derivation!$D$5)))</x:f>
        <x:v>0.9998137803558161</x:v>
      </x:c>
      <x:c r="G19" s="30" t="n">
        <x:f>1/(1+EXP(-Hail_V1_Derivation!$E$6*(A19-Hail_V1_Derivation!$D$6)))</x:f>
        <x:v>0.989334908120679</x:v>
      </x:c>
      <x:c r="H19" s="30" t="n">
        <x:f>1/(1+EXP(-Hail_V1_Derivation!$E$7*(A19-Hail_V1_Derivation!$D$7)))</x:f>
        <x:v>0.8956582867965325</x:v>
      </x:c>
      <x:c r="I19" s="30" t="n">
        <x:f>G19*Hail_V1_Derivation!$B$14</x:f>
        <x:v>0.7914679264965433</x:v>
      </x:c>
      <x:c r="J19" s="30" t="n">
        <x:f>G19*Hail_V1_Derivation!$B$17</x:f>
        <x:v>0.2625750092120284</x:v>
      </x:c>
      <x:c r="K19" s="30" t="n">
        <x:f>G19*Hail_V1_Derivation!$B$18</x:f>
        <x:v>0.20579215592335376</x:v>
      </x:c>
      <x:c r="L19" s="28" t="n">
        <x:f>G19*Hail_V1_Derivation!$B$16</x:f>
        <x:v>23048721.46341562</x:v>
      </x:c>
      <x:c r="M19" s="30" t="n">
        <x:f>F19*Hail_V1_Derivation!$B$18</x:f>
        <x:v>0.20797187250993476</x:v>
      </x:c>
      <x:c r="N19" s="30" t="n">
        <x:f>H19*Hail_V1_Derivation!$B$18</x:f>
        <x:v>0.18630642495027844</x:v>
      </x:c>
    </x:row>
    <x:row r="20">
      <x:c r="A20" t="n">
        <x:v>85</x:v>
      </x:c>
      <x:c r="B20" s="84" t="n">
        <x:f>A20/25.4</x:f>
        <x:v>3.346456692913386</x:v>
      </x:c>
      <x:c r="C20" s="84" t="n">
        <x:f>IF(A20=0,0,Hail_V1_Derivation!$B$22*A20^Hail_V1_Derivation!$B$23)</x:f>
        <x:v>289.4486335663734</x:v>
      </x:c>
      <x:c r="D20" s="84" t="n">
        <x:f>IF(A20=0,0,Hail_V1_Derivation!$B$24*A20^Hail_V1_Derivation!$B$25)</x:f>
        <x:v>41.81245161767592</x:v>
      </x:c>
      <x:c r="E20" s="84" t="n">
        <x:f>0.5*(C20/1000)*D20^2</x:f>
        <x:v>253.01878923029494</x:v>
      </x:c>
      <x:c r="F20" s="30" t="n">
        <x:f>1/(1+EXP(-Hail_V1_Derivation!$E$5*(A20-Hail_V1_Derivation!$D$5)))</x:f>
        <x:v>0.9999382010735004</x:v>
      </x:c>
      <x:c r="G20" s="30" t="n">
        <x:f>1/(1+EXP(-Hail_V1_Derivation!$E$6*(A20-Hail_V1_Derivation!$D$6)))</x:f>
        <x:v>0.9953193118709364</x:v>
      </x:c>
      <x:c r="H20" s="30" t="n">
        <x:f>1/(1+EXP(-Hail_V1_Derivation!$E$7*(A20-Hail_V1_Derivation!$D$7)))</x:f>
        <x:v>0.9440933449174629</x:v>
      </x:c>
      <x:c r="I20" s="30" t="n">
        <x:f>G20*Hail_V1_Derivation!$B$14</x:f>
        <x:v>0.7962554494967491</x:v>
      </x:c>
      <x:c r="J20" s="30" t="n">
        <x:f>G20*Hail_V1_Derivation!$B$17</x:f>
        <x:v>0.2641633033851687</x:v>
      </x:c>
      <x:c r="K20" s="30" t="n">
        <x:f>G20*Hail_V1_Derivation!$B$18</x:f>
        <x:v>0.20703697538698784</x:v>
      </x:c>
      <x:c r="L20" s="28" t="n">
        <x:f>G20*Hail_V1_Derivation!$B$16</x:f>
        <x:v>23188141.243342638</x:v>
      </x:c>
      <x:c r="M20" s="30" t="n">
        <x:f>F20*Hail_V1_Derivation!$B$18</x:f>
        <x:v>0.20799775333908938</x:v>
      </x:c>
      <x:c r="N20" s="30" t="n">
        <x:f>H20*Hail_V1_Derivation!$B$18</x:f>
        <x:v>0.19638143084682907</x:v>
      </x:c>
    </x:row>
    <x:row r="21">
      <x:c r="A21" t="n">
        <x:v>90</x:v>
      </x:c>
      <x:c r="B21" s="84" t="n">
        <x:f>A21/25.4</x:f>
        <x:v>3.5433070866141736</x:v>
      </x:c>
      <x:c r="C21" s="84" t="n">
        <x:f>IF(A21=0,0,Hail_V1_Derivation!$B$22*A21^Hail_V1_Derivation!$B$23)</x:f>
        <x:v>343.0810834426061</x:v>
      </x:c>
      <x:c r="D21" s="84" t="n">
        <x:f>IF(A21=0,0,Hail_V1_Derivation!$B$24*A21^Hail_V1_Derivation!$B$25)</x:f>
        <x:v>42.991822707287234</x:v>
      </x:c>
      <x:c r="E21" s="84" t="n">
        <x:f>0.5*(C21/1000)*D21^2</x:f>
        <x:v>317.0578377122107</x:v>
      </x:c>
      <x:c r="F21" s="30" t="n">
        <x:f>1/(1+EXP(-Hail_V1_Derivation!$E$5*(A21-Hail_V1_Derivation!$D$5)))</x:f>
        <x:v>0.9999794930883015</x:v>
      </x:c>
      <x:c r="G21" s="30" t="n">
        <x:f>1/(1+EXP(-Hail_V1_Derivation!$E$6*(A21-Hail_V1_Derivation!$D$6)))</x:f>
        <x:v>0.9979526917555898</x:v>
      </x:c>
      <x:c r="H21" s="30" t="n">
        <x:f>1/(1+EXP(-Hail_V1_Derivation!$E$7*(A21-Hail_V1_Derivation!$D$7)))</x:f>
        <x:v>0.9707785539010932</x:v>
      </x:c>
      <x:c r="I21" s="30" t="n">
        <x:f>G21*Hail_V1_Derivation!$B$14</x:f>
        <x:v>0.7983621534044718</x:v>
      </x:c>
      <x:c r="J21" s="30" t="n">
        <x:f>G21*Hail_V1_Derivation!$B$17</x:f>
        <x:v>0.26486221711175</x:v>
      </x:c>
      <x:c r="K21" s="30" t="n">
        <x:f>G21*Hail_V1_Derivation!$B$18</x:f>
        <x:v>0.20758474633834087</x:v>
      </x:c>
      <x:c r="L21" s="28" t="n">
        <x:f>G21*Hail_V1_Derivation!$B$16</x:f>
        <x:v>23249491.589894176</x:v>
      </x:c>
      <x:c r="M21" s="30" t="n">
        <x:f>F21*Hail_V1_Derivation!$B$18</x:f>
        <x:v>0.20800634251620076</x:v>
      </x:c>
      <x:c r="N21" s="30" t="n">
        <x:f>H21*Hail_V1_Derivation!$B$18</x:f>
        <x:v>0.20193223739669425</x:v>
      </x:c>
    </x:row>
    <x:row r="22">
      <x:c r="A22" t="n">
        <x:v>95</x:v>
      </x:c>
      <x:c r="B22" s="84" t="n">
        <x:f>A22/25.4</x:f>
        <x:v>3.7401574803149606</x:v>
      </x:c>
      <x:c r="C22" s="84" t="n">
        <x:f>IF(A22=0,0,Hail_V1_Derivation!$B$22*A22^Hail_V1_Derivation!$B$23)</x:f>
        <x:v>402.9298915168369</x:v>
      </x:c>
      <x:c r="D22" s="84" t="n">
        <x:f>IF(A22=0,0,Hail_V1_Derivation!$B$24*A22^Hail_V1_Derivation!$B$25)</x:f>
        <x:v>44.13801228466248</x:v>
      </x:c>
      <x:c r="E22" s="84" t="n">
        <x:f>0.5*(C22/1000)*D22^2</x:f>
        <x:v>392.48678046486583</x:v>
      </x:c>
      <x:c r="F22" s="30" t="n">
        <x:f>1/(1+EXP(-Hail_V1_Derivation!$E$5*(A22-Hail_V1_Derivation!$D$5)))</x:f>
        <x:v>0.9999931953215319</x:v>
      </x:c>
      <x:c r="G22" s="30" t="n">
        <x:f>1/(1+EXP(-Hail_V1_Derivation!$E$6*(A22-Hail_V1_Derivation!$D$6)))</x:f>
        <x:v>0.9991058491585353</x:v>
      </x:c>
      <x:c r="H22" s="30" t="n">
        <x:f>1/(1+EXP(-Hail_V1_Derivation!$E$7*(A22-Hail_V1_Derivation!$D$7)))</x:f>
        <x:v>0.98492977434848</x:v>
      </x:c>
      <x:c r="I22" s="30" t="n">
        <x:f>G22*Hail_V1_Derivation!$B$14</x:f>
        <x:v>0.7992846793268282</x:v>
      </x:c>
      <x:c r="J22" s="30" t="n">
        <x:f>G22*Hail_V1_Derivation!$B$17</x:f>
        <x:v>0.26516827152589834</x:v>
      </x:c>
      <x:c r="K22" s="30" t="n">
        <x:f>G22*Hail_V1_Derivation!$B$18</x:f>
        <x:v>0.20782461531104487</x:v>
      </x:c>
      <x:c r="L22" s="28" t="n">
        <x:f>G22*Hail_V1_Derivation!$B$16</x:f>
        <x:v>23276356.914837025</x:v>
      </x:c>
      <x:c r="M22" s="30" t="n">
        <x:f>F22*Hail_V1_Derivation!$B$18</x:f>
        <x:v>0.20800919272606833</x:v>
      </x:c>
      <x:c r="N22" s="30" t="n">
        <x:f>H22*Hail_V1_Derivation!$B$18</x:f>
        <x:v>0.20487584136832235</x:v>
      </x:c>
    </x:row>
    <x:row r="23">
      <x:c r="A23" t="n">
        <x:v>100</x:v>
      </x:c>
      <x:c r="B23" s="84" t="n">
        <x:f>A23/25.4</x:f>
        <x:v>3.937007874015748</x:v>
      </x:c>
      <x:c r="C23" s="84" t="n">
        <x:f>IF(A23=0,0,Hail_V1_Derivation!$B$22*A23^Hail_V1_Derivation!$B$23)</x:f>
        <x:v>469.3311967864531</x:v>
      </x:c>
      <x:c r="D23" s="84" t="n">
        <x:f>IF(A23=0,0,Hail_V1_Derivation!$B$24*A23^Hail_V1_Derivation!$B$25)</x:f>
        <x:v>45.253630326297774</x:v>
      </x:c>
      <x:c r="E23" s="84" t="n">
        <x:f>0.5*(C23/1000)*D23^2</x:f>
        <x:v>480.56958050147125</x:v>
      </x:c>
      <x:c r="F23" s="30" t="n">
        <x:f>1/(1+EXP(-Hail_V1_Derivation!$E$5*(A23-Hail_V1_Derivation!$D$5)))</x:f>
        <x:v>0.9999977420673675</x:v>
      </x:c>
      <x:c r="G23" s="30" t="n">
        <x:f>1/(1+EXP(-Hail_V1_Derivation!$E$6*(A23-Hail_V1_Derivation!$D$6)))</x:f>
        <x:v>0.9996097384426917</x:v>
      </x:c>
      <x:c r="H23" s="30" t="n">
        <x:f>1/(1+EXP(-Hail_V1_Derivation!$E$7*(A23-Hail_V1_Derivation!$D$7)))</x:f>
        <x:v>0.9922823917163562</x:v>
      </x:c>
      <x:c r="I23" s="30" t="n">
        <x:f>G23*Hail_V1_Derivation!$B$14</x:f>
        <x:v>0.7996877907541534</x:v>
      </x:c>
      <x:c r="J23" s="30" t="n">
        <x:f>G23*Hail_V1_Derivation!$B$17</x:f>
        <x:v>0.26530200655570796</x:v>
      </x:c>
      <x:c r="K23" s="30" t="n">
        <x:f>G23*Hail_V1_Derivation!$B$18</x:f>
        <x:v>0.2079294296274933</x:v>
      </x:c>
      <x:c r="L23" s="28" t="n">
        <x:f>G23*Hail_V1_Derivation!$B$16</x:f>
        <x:v>23288096.11827925</x:v>
      </x:c>
      <x:c r="M23" s="30" t="n">
        <x:f>F23*Hail_V1_Derivation!$B$18</x:f>
        <x:v>0.2080101384974348</x:v>
      </x:c>
      <x:c r="N23" s="30" t="n">
        <x:f>H23*Hail_V1_Derivation!$B$18</x:f>
        <x:v>0.20640526377866572</x:v>
      </x:c>
    </x:row>
    <x:row r="24">
      <x:c r="B24" s="84"/>
      <x:c r="C24" s="84"/>
      <x:c r="D24" s="84"/>
      <x:c r="E24" s="84"/>
      <x:c r="F24" s="30"/>
      <x:c r="G24" s="30"/>
      <x:c r="H24" s="30"/>
      <x:c r="I24" s="30"/>
      <x:c r="J24" s="30"/>
      <x:c r="K24" s="30"/>
      <x:c r="L24" s="28"/>
      <x:c r="M24" s="30"/>
      <x:c r="N24" s="30"/>
    </x:row>
    <x:row r="25">
      <x:c r="B25" s="84"/>
      <x:c r="C25" s="84"/>
      <x:c r="D25" s="84"/>
      <x:c r="E25" s="84"/>
      <x:c r="F25" s="30"/>
      <x:c r="G25" s="30"/>
      <x:c r="H25" s="30"/>
      <x:c r="I25" s="30"/>
      <x:c r="J25" s="30"/>
      <x:c r="K25" s="30"/>
      <x:c r="L25" s="28"/>
      <x:c r="M25" s="30"/>
      <x:c r="N25" s="30"/>
    </x:row>
    <x:row r="26">
      <x:c r="B26" s="84"/>
      <x:c r="C26" s="84"/>
      <x:c r="D26" s="84"/>
      <x:c r="E26" s="84"/>
      <x:c r="F26" s="30"/>
      <x:c r="G26" s="30"/>
      <x:c r="H26" s="30"/>
      <x:c r="I26" s="30"/>
      <x:c r="J26" s="30"/>
      <x:c r="K26" s="30"/>
      <x:c r="L26" s="28"/>
      <x:c r="M26" s="30"/>
      <x:c r="N26" s="30"/>
    </x:row>
    <x:row r="27">
      <x:c r="B27" s="84"/>
      <x:c r="C27" s="84"/>
      <x:c r="D27" s="84"/>
      <x:c r="E27" s="84"/>
      <x:c r="F27" s="30"/>
      <x:c r="G27" s="30"/>
      <x:c r="H27" s="30"/>
      <x:c r="I27" s="30"/>
      <x:c r="J27" s="30"/>
      <x:c r="K27" s="30"/>
      <x:c r="L27" s="28"/>
      <x:c r="M27" s="30"/>
      <x:c r="N27" s="30"/>
    </x:row>
    <x:row r="28">
      <x:c r="B28" s="84"/>
      <x:c r="C28" s="84"/>
      <x:c r="D28" s="84"/>
      <x:c r="E28" s="84"/>
      <x:c r="F28" s="30"/>
      <x:c r="G28" s="30"/>
      <x:c r="H28" s="30"/>
      <x:c r="I28" s="30"/>
      <x:c r="J28" s="30"/>
      <x:c r="K28" s="30"/>
      <x:c r="L28" s="28"/>
      <x:c r="M28" s="30"/>
      <x:c r="N28" s="30"/>
    </x:row>
    <x:row r="29">
      <x:c r="B29" s="84"/>
      <x:c r="C29" s="84"/>
      <x:c r="D29" s="84"/>
      <x:c r="E29" s="84"/>
      <x:c r="F29" s="30"/>
      <x:c r="G29" s="30"/>
      <x:c r="H29" s="30"/>
      <x:c r="I29" s="30"/>
      <x:c r="J29" s="30"/>
      <x:c r="K29" s="30"/>
      <x:c r="L29" s="28"/>
      <x:c r="M29" s="30"/>
      <x:c r="N29" s="30"/>
    </x:row>
    <x:row r="30">
      <x:c r="B30" s="84"/>
      <x:c r="C30" s="84"/>
      <x:c r="D30" s="84"/>
      <x:c r="E30" s="84"/>
      <x:c r="F30" s="30"/>
      <x:c r="G30" s="30"/>
      <x:c r="H30" s="30"/>
      <x:c r="I30" s="30"/>
      <x:c r="J30" s="30"/>
      <x:c r="K30" s="30"/>
      <x:c r="L30" s="28"/>
      <x:c r="M30" s="30"/>
      <x:c r="N30" s="30"/>
    </x:row>
    <x:row r="31">
      <x:c r="B31" s="84"/>
      <x:c r="C31" s="84"/>
      <x:c r="D31" s="84"/>
      <x:c r="E31" s="84"/>
      <x:c r="F31" s="30"/>
      <x:c r="G31" s="30"/>
      <x:c r="H31" s="30"/>
      <x:c r="I31" s="30"/>
      <x:c r="J31" s="30"/>
      <x:c r="K31" s="30"/>
      <x:c r="L31" s="28"/>
      <x:c r="M31" s="30"/>
      <x:c r="N31" s="30"/>
    </x:row>
    <x:row r="32">
      <x:c r="B32" s="84"/>
      <x:c r="C32" s="84"/>
      <x:c r="D32" s="84"/>
      <x:c r="E32" s="84"/>
      <x:c r="F32" s="30"/>
      <x:c r="G32" s="30"/>
      <x:c r="H32" s="30"/>
      <x:c r="I32" s="30"/>
      <x:c r="J32" s="30"/>
      <x:c r="K32" s="30"/>
      <x:c r="L32" s="28"/>
      <x:c r="M32" s="30"/>
      <x:c r="N32" s="30"/>
    </x:row>
    <x:row r="33">
      <x:c r="B33" s="84"/>
      <x:c r="C33" s="84"/>
      <x:c r="D33" s="84"/>
      <x:c r="E33" s="84"/>
      <x:c r="F33" s="30"/>
      <x:c r="G33" s="30"/>
      <x:c r="H33" s="30"/>
      <x:c r="I33" s="30"/>
      <x:c r="J33" s="30"/>
      <x:c r="K33" s="30"/>
      <x:c r="L33" s="28"/>
      <x:c r="M33" s="30"/>
      <x:c r="N33" s="30"/>
    </x:row>
    <x:row r="34">
      <x:c r="B34" s="84"/>
      <x:c r="C34" s="84"/>
      <x:c r="D34" s="84"/>
      <x:c r="E34" s="84"/>
      <x:c r="F34" s="30"/>
      <x:c r="G34" s="30"/>
      <x:c r="H34" s="30"/>
      <x:c r="I34" s="30"/>
      <x:c r="J34" s="30"/>
      <x:c r="K34" s="30"/>
      <x:c r="L34" s="28"/>
      <x:c r="M34" s="30"/>
      <x:c r="N34" s="30"/>
    </x:row>
    <x:row r="35">
      <x:c r="B35" s="84"/>
      <x:c r="C35" s="84"/>
      <x:c r="D35" s="84"/>
      <x:c r="E35" s="84"/>
      <x:c r="F35" s="30"/>
      <x:c r="G35" s="30"/>
      <x:c r="H35" s="30"/>
      <x:c r="I35" s="30"/>
      <x:c r="J35" s="30"/>
      <x:c r="K35" s="30"/>
      <x:c r="L35" s="28"/>
      <x:c r="M35" s="30"/>
      <x:c r="N35" s="30"/>
    </x:row>
    <x:row r="36">
      <x:c r="B36" s="84"/>
      <x:c r="C36" s="84"/>
      <x:c r="D36" s="84"/>
      <x:c r="E36" s="84"/>
      <x:c r="F36" s="30"/>
      <x:c r="G36" s="30"/>
      <x:c r="H36" s="30"/>
      <x:c r="I36" s="30"/>
      <x:c r="J36" s="30"/>
      <x:c r="K36" s="30"/>
      <x:c r="L36" s="28"/>
      <x:c r="M36" s="30"/>
      <x:c r="N36" s="30"/>
    </x:row>
    <x:row r="37">
      <x:c r="B37" s="84"/>
      <x:c r="C37" s="84"/>
      <x:c r="D37" s="84"/>
      <x:c r="E37" s="84"/>
      <x:c r="F37" s="30"/>
      <x:c r="G37" s="30"/>
      <x:c r="H37" s="30"/>
      <x:c r="I37" s="30"/>
      <x:c r="J37" s="30"/>
      <x:c r="K37" s="30"/>
      <x:c r="L37" s="28"/>
      <x:c r="M37" s="30"/>
      <x:c r="N37" s="30"/>
    </x:row>
    <x:row r="38">
      <x:c r="B38" s="84"/>
      <x:c r="C38" s="84"/>
      <x:c r="D38" s="84"/>
      <x:c r="E38" s="84"/>
      <x:c r="F38" s="30"/>
      <x:c r="G38" s="30"/>
      <x:c r="H38" s="30"/>
      <x:c r="I38" s="30"/>
      <x:c r="J38" s="30"/>
      <x:c r="K38" s="30"/>
      <x:c r="L38" s="28"/>
      <x:c r="M38" s="30"/>
      <x:c r="N38" s="30"/>
    </x:row>
    <x:row r="39">
      <x:c r="B39" s="84"/>
      <x:c r="C39" s="84"/>
      <x:c r="D39" s="84"/>
      <x:c r="E39" s="84"/>
      <x:c r="F39" s="30"/>
      <x:c r="G39" s="30"/>
      <x:c r="H39" s="30"/>
      <x:c r="I39" s="30"/>
      <x:c r="J39" s="30"/>
      <x:c r="K39" s="30"/>
      <x:c r="L39" s="28"/>
      <x:c r="M39" s="30"/>
      <x:c r="N39" s="30"/>
    </x:row>
    <x:row r="40">
      <x:c r="B40" s="84"/>
      <x:c r="C40" s="84"/>
      <x:c r="D40" s="84"/>
      <x:c r="E40" s="84"/>
      <x:c r="F40" s="30"/>
      <x:c r="G40" s="30"/>
      <x:c r="H40" s="30"/>
      <x:c r="I40" s="30"/>
      <x:c r="J40" s="30"/>
      <x:c r="K40" s="30"/>
      <x:c r="L40" s="28"/>
      <x:c r="M40" s="30"/>
      <x:c r="N40" s="30"/>
    </x:row>
    <x:row r="41">
      <x:c r="B41" s="84"/>
      <x:c r="C41" s="84"/>
      <x:c r="D41" s="84"/>
      <x:c r="E41" s="84"/>
      <x:c r="F41" s="30"/>
      <x:c r="G41" s="30"/>
      <x:c r="H41" s="30"/>
      <x:c r="I41" s="30"/>
      <x:c r="J41" s="30"/>
      <x:c r="K41" s="30"/>
      <x:c r="L41" s="28"/>
      <x:c r="M41" s="30"/>
      <x:c r="N41" s="30"/>
    </x:row>
    <x:row r="42">
      <x:c r="B42" s="84"/>
      <x:c r="C42" s="84"/>
      <x:c r="D42" s="84"/>
      <x:c r="E42" s="84"/>
      <x:c r="F42" s="30"/>
      <x:c r="G42" s="30"/>
      <x:c r="H42" s="30"/>
      <x:c r="I42" s="30"/>
      <x:c r="J42" s="30"/>
      <x:c r="K42" s="30"/>
      <x:c r="L42" s="28"/>
      <x:c r="M42" s="30"/>
      <x:c r="N42" s="30"/>
    </x:row>
    <x:row r="43">
      <x:c r="B43" s="84"/>
      <x:c r="C43" s="84"/>
      <x:c r="D43" s="84"/>
      <x:c r="E43" s="84"/>
      <x:c r="F43" s="30"/>
      <x:c r="G43" s="30"/>
      <x:c r="H43" s="30"/>
      <x:c r="I43" s="30"/>
      <x:c r="J43" s="30"/>
      <x:c r="K43" s="30"/>
      <x:c r="L43" s="28"/>
      <x:c r="M43" s="30"/>
      <x:c r="N43" s="30"/>
    </x:row>
    <x:row r="44">
      <x:c r="B44" s="84"/>
      <x:c r="C44" s="84"/>
      <x:c r="D44" s="84"/>
      <x:c r="E44" s="84"/>
      <x:c r="F44" s="30"/>
      <x:c r="G44" s="30"/>
      <x:c r="H44" s="30"/>
      <x:c r="I44" s="30"/>
      <x:c r="J44" s="30"/>
      <x:c r="K44" s="30"/>
      <x:c r="L44" s="28"/>
      <x:c r="M44" s="30"/>
      <x:c r="N44" s="30"/>
    </x:row>
    <x:row r="45">
      <x:c r="B45" s="84"/>
      <x:c r="C45" s="84"/>
      <x:c r="D45" s="84"/>
      <x:c r="E45" s="84"/>
      <x:c r="F45" s="30"/>
      <x:c r="G45" s="30"/>
      <x:c r="H45" s="30"/>
      <x:c r="I45" s="30"/>
      <x:c r="J45" s="30"/>
      <x:c r="K45" s="30"/>
      <x:c r="L45" s="28"/>
      <x:c r="M45" s="30"/>
      <x:c r="N45" s="30"/>
    </x:row>
    <x:row r="46">
      <x:c r="B46" s="84"/>
      <x:c r="C46" s="84"/>
      <x:c r="D46" s="84"/>
      <x:c r="E46" s="84"/>
      <x:c r="F46" s="30"/>
      <x:c r="G46" s="30"/>
      <x:c r="H46" s="30"/>
      <x:c r="I46" s="30"/>
      <x:c r="J46" s="30"/>
      <x:c r="K46" s="30"/>
      <x:c r="L46" s="28"/>
      <x:c r="M46" s="30"/>
      <x:c r="N46" s="30"/>
    </x:row>
    <x:row r="47">
      <x:c r="B47" s="84"/>
      <x:c r="C47" s="84"/>
      <x:c r="D47" s="84"/>
      <x:c r="E47" s="84"/>
      <x:c r="F47" s="30"/>
      <x:c r="G47" s="30"/>
      <x:c r="H47" s="30"/>
      <x:c r="I47" s="30"/>
      <x:c r="J47" s="30"/>
      <x:c r="K47" s="30"/>
      <x:c r="L47" s="28"/>
      <x:c r="M47" s="30"/>
      <x:c r="N47" s="30"/>
    </x:row>
    <x:row r="48">
      <x:c r="B48" s="84"/>
      <x:c r="C48" s="84"/>
      <x:c r="D48" s="84"/>
      <x:c r="E48" s="84"/>
      <x:c r="F48" s="30"/>
      <x:c r="G48" s="30"/>
      <x:c r="H48" s="30"/>
      <x:c r="I48" s="30"/>
      <x:c r="J48" s="30"/>
      <x:c r="K48" s="30"/>
      <x:c r="L48" s="28"/>
      <x:c r="M48" s="30"/>
      <x:c r="N48" s="30"/>
    </x:row>
    <x:row r="49">
      <x:c r="B49" s="84"/>
      <x:c r="C49" s="84"/>
      <x:c r="D49" s="84"/>
      <x:c r="E49" s="84"/>
      <x:c r="F49" s="30"/>
      <x:c r="G49" s="30"/>
      <x:c r="H49" s="30"/>
      <x:c r="I49" s="30"/>
      <x:c r="J49" s="30"/>
      <x:c r="K49" s="30"/>
      <x:c r="L49" s="28"/>
      <x:c r="M49" s="30"/>
      <x:c r="N49" s="30"/>
    </x:row>
    <x:row r="50">
      <x:c r="B50" s="84"/>
      <x:c r="C50" s="84"/>
      <x:c r="D50" s="84"/>
      <x:c r="E50" s="84"/>
      <x:c r="F50" s="30"/>
      <x:c r="G50" s="30"/>
      <x:c r="H50" s="30"/>
      <x:c r="I50" s="30"/>
      <x:c r="J50" s="30"/>
      <x:c r="K50" s="30"/>
      <x:c r="L50" s="28"/>
      <x:c r="M50" s="30"/>
      <x:c r="N50" s="30"/>
    </x:row>
    <x:row r="51">
      <x:c r="B51" s="84"/>
      <x:c r="C51" s="84"/>
      <x:c r="D51" s="84"/>
      <x:c r="E51" s="84"/>
      <x:c r="F51" s="30"/>
      <x:c r="G51" s="30"/>
      <x:c r="H51" s="30"/>
      <x:c r="I51" s="30"/>
      <x:c r="J51" s="30"/>
      <x:c r="K51" s="30"/>
      <x:c r="L51" s="28"/>
      <x:c r="M51" s="30"/>
      <x:c r="N51" s="30"/>
    </x:row>
    <x:row r="52">
      <x:c r="B52" s="84"/>
      <x:c r="C52" s="84"/>
      <x:c r="D52" s="84"/>
      <x:c r="E52" s="84"/>
      <x:c r="F52" s="30"/>
      <x:c r="G52" s="30"/>
      <x:c r="H52" s="30"/>
      <x:c r="I52" s="30"/>
      <x:c r="J52" s="30"/>
      <x:c r="K52" s="30"/>
      <x:c r="L52" s="28"/>
      <x:c r="M52" s="30"/>
      <x:c r="N52" s="30"/>
    </x:row>
    <x:row r="53">
      <x:c r="B53" s="84"/>
      <x:c r="C53" s="84"/>
      <x:c r="D53" s="84"/>
      <x:c r="E53" s="84"/>
      <x:c r="F53" s="30"/>
      <x:c r="G53" s="30"/>
      <x:c r="H53" s="30"/>
      <x:c r="I53" s="30"/>
      <x:c r="J53" s="30"/>
      <x:c r="K53" s="30"/>
      <x:c r="L53" s="28"/>
      <x:c r="M53" s="30"/>
      <x:c r="N53" s="30"/>
    </x:row>
    <x:row r="54">
      <x:c r="B54" s="84"/>
      <x:c r="C54" s="84"/>
      <x:c r="D54" s="84"/>
      <x:c r="E54" s="84"/>
      <x:c r="F54" s="30"/>
      <x:c r="G54" s="30"/>
      <x:c r="H54" s="30"/>
      <x:c r="I54" s="30"/>
      <x:c r="J54" s="30"/>
      <x:c r="K54" s="30"/>
      <x:c r="L54" s="28"/>
      <x:c r="M54" s="30"/>
      <x:c r="N54" s="30"/>
    </x:row>
    <x:row r="55">
      <x:c r="B55" s="84"/>
      <x:c r="C55" s="84"/>
      <x:c r="D55" s="84"/>
      <x:c r="E55" s="84"/>
      <x:c r="F55" s="30"/>
      <x:c r="G55" s="30"/>
      <x:c r="H55" s="30"/>
      <x:c r="I55" s="30"/>
      <x:c r="J55" s="30"/>
      <x:c r="K55" s="30"/>
      <x:c r="L55" s="28"/>
      <x:c r="M55" s="30"/>
      <x:c r="N55" s="30"/>
    </x:row>
    <x:row r="56">
      <x:c r="B56" s="84"/>
      <x:c r="C56" s="84"/>
      <x:c r="D56" s="84"/>
      <x:c r="E56" s="84"/>
      <x:c r="F56" s="30"/>
      <x:c r="G56" s="30"/>
      <x:c r="H56" s="30"/>
      <x:c r="I56" s="30"/>
      <x:c r="J56" s="30"/>
      <x:c r="K56" s="30"/>
      <x:c r="L56" s="28"/>
      <x:c r="M56" s="30"/>
      <x:c r="N56" s="30"/>
    </x:row>
    <x:row r="57">
      <x:c r="B57" s="84"/>
      <x:c r="C57" s="84"/>
      <x:c r="D57" s="84"/>
      <x:c r="E57" s="84"/>
      <x:c r="F57" s="30"/>
      <x:c r="G57" s="30"/>
      <x:c r="H57" s="30"/>
      <x:c r="I57" s="30"/>
      <x:c r="J57" s="30"/>
      <x:c r="K57" s="30"/>
      <x:c r="L57" s="28"/>
      <x:c r="M57" s="30"/>
      <x:c r="N57" s="30"/>
    </x:row>
    <x:row r="58">
      <x:c r="B58" s="84"/>
      <x:c r="C58" s="84"/>
      <x:c r="D58" s="84"/>
      <x:c r="E58" s="84"/>
      <x:c r="F58" s="30"/>
      <x:c r="G58" s="30"/>
      <x:c r="H58" s="30"/>
      <x:c r="I58" s="30"/>
      <x:c r="J58" s="30"/>
      <x:c r="K58" s="30"/>
      <x:c r="L58" s="28"/>
      <x:c r="M58" s="30"/>
      <x:c r="N58" s="30"/>
    </x:row>
    <x:row r="59">
      <x:c r="B59" s="84"/>
      <x:c r="C59" s="84"/>
      <x:c r="D59" s="84"/>
      <x:c r="E59" s="84"/>
      <x:c r="F59" s="30"/>
      <x:c r="G59" s="30"/>
      <x:c r="H59" s="30"/>
      <x:c r="I59" s="30"/>
      <x:c r="J59" s="30"/>
      <x:c r="K59" s="30"/>
      <x:c r="L59" s="28"/>
      <x:c r="M59" s="30"/>
      <x:c r="N59" s="30"/>
    </x:row>
    <x:row r="60">
      <x:c r="B60" s="84"/>
      <x:c r="C60" s="84"/>
      <x:c r="D60" s="84"/>
      <x:c r="E60" s="84"/>
      <x:c r="F60" s="30"/>
      <x:c r="G60" s="30"/>
      <x:c r="H60" s="30"/>
      <x:c r="I60" s="30"/>
      <x:c r="J60" s="30"/>
      <x:c r="K60" s="30"/>
      <x:c r="L60" s="28"/>
      <x:c r="M60" s="30"/>
      <x:c r="N60" s="30"/>
    </x:row>
    <x:row r="61">
      <x:c r="B61" s="84"/>
      <x:c r="C61" s="84"/>
      <x:c r="D61" s="84"/>
      <x:c r="E61" s="84"/>
      <x:c r="F61" s="30"/>
      <x:c r="G61" s="30"/>
      <x:c r="H61" s="30"/>
      <x:c r="I61" s="30"/>
      <x:c r="J61" s="30"/>
      <x:c r="K61" s="30"/>
      <x:c r="L61" s="28"/>
      <x:c r="M61" s="30"/>
      <x:c r="N61" s="30"/>
    </x:row>
    <x:row r="62">
      <x:c r="B62" s="84"/>
      <x:c r="C62" s="84"/>
      <x:c r="D62" s="84"/>
      <x:c r="E62" s="84"/>
      <x:c r="F62" s="30"/>
      <x:c r="G62" s="30"/>
      <x:c r="H62" s="30"/>
      <x:c r="I62" s="30"/>
      <x:c r="J62" s="30"/>
      <x:c r="K62" s="30"/>
      <x:c r="L62" s="28"/>
      <x:c r="M62" s="30"/>
      <x:c r="N62" s="30"/>
    </x:row>
    <x:row r="63">
      <x:c r="B63" s="84"/>
      <x:c r="C63" s="84"/>
      <x:c r="D63" s="84"/>
      <x:c r="E63" s="84"/>
      <x:c r="F63" s="30"/>
      <x:c r="G63" s="30"/>
      <x:c r="H63" s="30"/>
      <x:c r="I63" s="30"/>
      <x:c r="J63" s="30"/>
      <x:c r="K63" s="30"/>
      <x:c r="L63" s="28"/>
      <x:c r="M63" s="30"/>
      <x:c r="N63" s="30"/>
    </x:row>
    <x:row r="64">
      <x:c r="B64" s="84"/>
      <x:c r="C64" s="84"/>
      <x:c r="D64" s="84"/>
      <x:c r="E64" s="84"/>
      <x:c r="F64" s="30"/>
      <x:c r="G64" s="30"/>
      <x:c r="H64" s="30"/>
      <x:c r="I64" s="30"/>
      <x:c r="J64" s="30"/>
      <x:c r="K64" s="30"/>
      <x:c r="L64" s="28"/>
      <x:c r="M64" s="30"/>
      <x:c r="N64" s="30"/>
    </x:row>
    <x:row r="65">
      <x:c r="B65" s="84"/>
      <x:c r="C65" s="84"/>
      <x:c r="D65" s="84"/>
      <x:c r="E65" s="84"/>
      <x:c r="F65" s="30"/>
      <x:c r="G65" s="30"/>
      <x:c r="H65" s="30"/>
      <x:c r="I65" s="30"/>
      <x:c r="J65" s="30"/>
      <x:c r="K65" s="30"/>
      <x:c r="L65" s="28"/>
      <x:c r="M65" s="30"/>
      <x:c r="N65" s="30"/>
    </x:row>
    <x:row r="66">
      <x:c r="B66" s="84"/>
      <x:c r="C66" s="84"/>
      <x:c r="D66" s="84"/>
      <x:c r="E66" s="84"/>
      <x:c r="F66" s="30"/>
      <x:c r="G66" s="30"/>
      <x:c r="H66" s="30"/>
      <x:c r="I66" s="30"/>
      <x:c r="J66" s="30"/>
      <x:c r="K66" s="30"/>
      <x:c r="L66" s="28"/>
      <x:c r="M66" s="30"/>
      <x:c r="N66" s="30"/>
    </x:row>
    <x:row r="67">
      <x:c r="B67" s="84"/>
      <x:c r="C67" s="84"/>
      <x:c r="D67" s="84"/>
      <x:c r="E67" s="84"/>
      <x:c r="F67" s="30"/>
      <x:c r="G67" s="30"/>
      <x:c r="H67" s="30"/>
      <x:c r="I67" s="30"/>
      <x:c r="J67" s="30"/>
      <x:c r="K67" s="30"/>
      <x:c r="L67" s="28"/>
      <x:c r="M67" s="30"/>
      <x:c r="N67" s="30"/>
    </x:row>
    <x:row r="68">
      <x:c r="B68" s="84"/>
      <x:c r="C68" s="84"/>
      <x:c r="D68" s="84"/>
      <x:c r="E68" s="84"/>
      <x:c r="F68" s="30"/>
      <x:c r="G68" s="30"/>
      <x:c r="H68" s="30"/>
      <x:c r="I68" s="30"/>
      <x:c r="J68" s="30"/>
      <x:c r="K68" s="30"/>
      <x:c r="L68" s="28"/>
      <x:c r="M68" s="30"/>
      <x:c r="N68" s="30"/>
    </x:row>
    <x:row r="69">
      <x:c r="B69" s="84"/>
      <x:c r="C69" s="84"/>
      <x:c r="D69" s="84"/>
      <x:c r="E69" s="84"/>
      <x:c r="F69" s="30"/>
      <x:c r="G69" s="30"/>
      <x:c r="H69" s="30"/>
      <x:c r="I69" s="30"/>
      <x:c r="J69" s="30"/>
      <x:c r="K69" s="30"/>
      <x:c r="L69" s="28"/>
      <x:c r="M69" s="30"/>
      <x:c r="N69" s="30"/>
    </x:row>
    <x:row r="70">
      <x:c r="B70" s="84"/>
      <x:c r="C70" s="84"/>
      <x:c r="D70" s="84"/>
      <x:c r="E70" s="84"/>
      <x:c r="F70" s="30"/>
      <x:c r="G70" s="30"/>
      <x:c r="H70" s="30"/>
      <x:c r="I70" s="30"/>
      <x:c r="J70" s="30"/>
      <x:c r="K70" s="30"/>
      <x:c r="L70" s="28"/>
      <x:c r="M70" s="30"/>
      <x:c r="N70" s="30"/>
    </x:row>
    <x:row r="71">
      <x:c r="B71" s="84"/>
      <x:c r="C71" s="84"/>
      <x:c r="D71" s="84"/>
      <x:c r="E71" s="84"/>
      <x:c r="F71" s="30"/>
      <x:c r="G71" s="30"/>
      <x:c r="H71" s="30"/>
      <x:c r="I71" s="30"/>
      <x:c r="J71" s="30"/>
      <x:c r="K71" s="30"/>
      <x:c r="L71" s="28"/>
      <x:c r="M71" s="30"/>
      <x:c r="N71" s="30"/>
    </x:row>
    <x:row r="72">
      <x:c r="B72" s="84"/>
      <x:c r="C72" s="84"/>
      <x:c r="D72" s="84"/>
      <x:c r="E72" s="84"/>
      <x:c r="F72" s="30"/>
      <x:c r="G72" s="30"/>
      <x:c r="H72" s="30"/>
      <x:c r="I72" s="30"/>
      <x:c r="J72" s="30"/>
      <x:c r="K72" s="30"/>
      <x:c r="L72" s="28"/>
      <x:c r="M72" s="30"/>
      <x:c r="N72" s="30"/>
    </x:row>
    <x:row r="73">
      <x:c r="B73" s="84"/>
      <x:c r="C73" s="84"/>
      <x:c r="D73" s="84"/>
      <x:c r="E73" s="84"/>
      <x:c r="F73" s="30"/>
      <x:c r="G73" s="30"/>
      <x:c r="H73" s="30"/>
      <x:c r="I73" s="30"/>
      <x:c r="J73" s="30"/>
      <x:c r="K73" s="30"/>
      <x:c r="L73" s="28"/>
      <x:c r="M73" s="30"/>
      <x:c r="N73" s="30"/>
    </x:row>
    <x:row r="74">
      <x:c r="B74" s="84"/>
      <x:c r="C74" s="84"/>
      <x:c r="D74" s="84"/>
      <x:c r="E74" s="84"/>
      <x:c r="F74" s="30"/>
      <x:c r="G74" s="30"/>
      <x:c r="H74" s="30"/>
      <x:c r="I74" s="30"/>
      <x:c r="J74" s="30"/>
      <x:c r="K74" s="30"/>
      <x:c r="L74" s="28"/>
      <x:c r="M74" s="30"/>
      <x:c r="N74" s="30"/>
    </x:row>
    <x:row r="75">
      <x:c r="B75" s="84"/>
      <x:c r="C75" s="84"/>
      <x:c r="D75" s="84"/>
      <x:c r="E75" s="84"/>
      <x:c r="F75" s="30"/>
      <x:c r="G75" s="30"/>
      <x:c r="H75" s="30"/>
      <x:c r="I75" s="30"/>
      <x:c r="J75" s="30"/>
      <x:c r="K75" s="30"/>
      <x:c r="L75" s="28"/>
      <x:c r="M75" s="30"/>
      <x:c r="N75" s="30"/>
    </x:row>
    <x:row r="76">
      <x:c r="B76" s="84"/>
      <x:c r="C76" s="84"/>
      <x:c r="D76" s="84"/>
      <x:c r="E76" s="84"/>
      <x:c r="F76" s="30"/>
      <x:c r="G76" s="30"/>
      <x:c r="H76" s="30"/>
      <x:c r="I76" s="30"/>
      <x:c r="J76" s="30"/>
      <x:c r="K76" s="30"/>
      <x:c r="L76" s="28"/>
      <x:c r="M76" s="30"/>
      <x:c r="N76" s="30"/>
    </x:row>
    <x:row r="77">
      <x:c r="B77" s="84"/>
      <x:c r="C77" s="84"/>
      <x:c r="D77" s="84"/>
      <x:c r="E77" s="84"/>
      <x:c r="F77" s="30"/>
      <x:c r="G77" s="30"/>
      <x:c r="H77" s="30"/>
      <x:c r="I77" s="30"/>
      <x:c r="J77" s="30"/>
      <x:c r="K77" s="30"/>
      <x:c r="L77" s="28"/>
      <x:c r="M77" s="30"/>
      <x:c r="N77" s="30"/>
    </x:row>
    <x:row r="78">
      <x:c r="B78" s="84"/>
      <x:c r="C78" s="84"/>
      <x:c r="D78" s="84"/>
      <x:c r="E78" s="84"/>
      <x:c r="F78" s="30"/>
      <x:c r="G78" s="30"/>
      <x:c r="H78" s="30"/>
      <x:c r="I78" s="30"/>
      <x:c r="J78" s="30"/>
      <x:c r="K78" s="30"/>
      <x:c r="L78" s="28"/>
      <x:c r="M78" s="30"/>
      <x:c r="N78" s="30"/>
    </x:row>
    <x:row r="79">
      <x:c r="B79" s="84"/>
      <x:c r="C79" s="84"/>
      <x:c r="D79" s="84"/>
      <x:c r="E79" s="84"/>
      <x:c r="F79" s="30"/>
      <x:c r="G79" s="30"/>
      <x:c r="H79" s="30"/>
      <x:c r="I79" s="30"/>
      <x:c r="J79" s="30"/>
      <x:c r="K79" s="30"/>
      <x:c r="L79" s="28"/>
      <x:c r="M79" s="30"/>
      <x:c r="N79" s="30"/>
    </x:row>
    <x:row r="80">
      <x:c r="B80" s="84"/>
      <x:c r="C80" s="84"/>
      <x:c r="D80" s="84"/>
      <x:c r="E80" s="84"/>
      <x:c r="F80" s="30"/>
      <x:c r="G80" s="30"/>
      <x:c r="H80" s="30"/>
      <x:c r="I80" s="30"/>
      <x:c r="J80" s="30"/>
      <x:c r="K80" s="30"/>
      <x:c r="L80" s="28"/>
      <x:c r="M80" s="30"/>
      <x:c r="N80" s="30"/>
    </x:row>
    <x:row r="81">
      <x:c r="B81" s="84"/>
      <x:c r="C81" s="84"/>
      <x:c r="D81" s="84"/>
      <x:c r="E81" s="84"/>
      <x:c r="F81" s="30"/>
      <x:c r="G81" s="30"/>
      <x:c r="H81" s="30"/>
      <x:c r="I81" s="30"/>
      <x:c r="J81" s="30"/>
      <x:c r="K81" s="30"/>
      <x:c r="L81" s="28"/>
      <x:c r="M81" s="30"/>
      <x:c r="N81" s="30"/>
    </x:row>
    <x:row r="82">
      <x:c r="B82" s="84"/>
      <x:c r="C82" s="84"/>
      <x:c r="D82" s="84"/>
      <x:c r="E82" s="84"/>
      <x:c r="F82" s="30"/>
      <x:c r="G82" s="30"/>
      <x:c r="H82" s="30"/>
      <x:c r="I82" s="30"/>
      <x:c r="J82" s="30"/>
      <x:c r="K82" s="30"/>
      <x:c r="L82" s="28"/>
      <x:c r="M82" s="30"/>
      <x:c r="N82" s="30"/>
    </x:row>
    <x:row r="83">
      <x:c r="B83" s="84"/>
      <x:c r="C83" s="84"/>
      <x:c r="D83" s="84"/>
      <x:c r="E83" s="84"/>
      <x:c r="F83" s="30"/>
      <x:c r="G83" s="30"/>
      <x:c r="H83" s="30"/>
      <x:c r="I83" s="30"/>
      <x:c r="J83" s="30"/>
      <x:c r="K83" s="30"/>
      <x:c r="L83" s="28"/>
      <x:c r="M83" s="30"/>
      <x:c r="N83" s="30"/>
    </x:row>
    <x:row r="84">
      <x:c r="B84" s="84"/>
      <x:c r="C84" s="84"/>
      <x:c r="D84" s="84"/>
      <x:c r="E84" s="84"/>
      <x:c r="F84" s="30"/>
      <x:c r="G84" s="30"/>
      <x:c r="H84" s="30"/>
      <x:c r="I84" s="30"/>
      <x:c r="J84" s="30"/>
      <x:c r="K84" s="30"/>
      <x:c r="L84" s="28"/>
      <x:c r="M84" s="30"/>
      <x:c r="N84" s="30"/>
    </x:row>
    <x:row r="85">
      <x:c r="B85" s="84"/>
      <x:c r="C85" s="84"/>
      <x:c r="D85" s="84"/>
      <x:c r="E85" s="84"/>
      <x:c r="F85" s="30"/>
      <x:c r="G85" s="30"/>
      <x:c r="H85" s="30"/>
      <x:c r="I85" s="30"/>
      <x:c r="J85" s="30"/>
      <x:c r="K85" s="30"/>
      <x:c r="L85" s="28"/>
      <x:c r="M85" s="30"/>
      <x:c r="N85" s="30"/>
    </x:row>
    <x:row r="86">
      <x:c r="B86" s="84"/>
      <x:c r="C86" s="84"/>
      <x:c r="D86" s="84"/>
      <x:c r="E86" s="84"/>
      <x:c r="F86" s="30"/>
      <x:c r="G86" s="30"/>
      <x:c r="H86" s="30"/>
      <x:c r="I86" s="30"/>
      <x:c r="J86" s="30"/>
      <x:c r="K86" s="30"/>
      <x:c r="L86" s="28"/>
      <x:c r="M86" s="30"/>
      <x:c r="N86" s="30"/>
    </x:row>
    <x:row r="87">
      <x:c r="B87" s="84"/>
      <x:c r="C87" s="84"/>
      <x:c r="D87" s="84"/>
      <x:c r="E87" s="84"/>
      <x:c r="F87" s="30"/>
      <x:c r="G87" s="30"/>
      <x:c r="H87" s="30"/>
      <x:c r="I87" s="30"/>
      <x:c r="J87" s="30"/>
      <x:c r="K87" s="30"/>
      <x:c r="L87" s="28"/>
      <x:c r="M87" s="30"/>
      <x:c r="N87" s="30"/>
    </x:row>
    <x:row r="88">
      <x:c r="B88" s="84"/>
      <x:c r="C88" s="84"/>
      <x:c r="D88" s="84"/>
      <x:c r="E88" s="84"/>
      <x:c r="F88" s="30"/>
      <x:c r="G88" s="30"/>
      <x:c r="H88" s="30"/>
      <x:c r="I88" s="30"/>
      <x:c r="J88" s="30"/>
      <x:c r="K88" s="30"/>
      <x:c r="L88" s="28"/>
      <x:c r="M88" s="30"/>
      <x:c r="N88" s="30"/>
    </x:row>
    <x:row r="89">
      <x:c r="B89" s="84"/>
      <x:c r="C89" s="84"/>
      <x:c r="D89" s="84"/>
      <x:c r="E89" s="84"/>
      <x:c r="F89" s="30"/>
      <x:c r="G89" s="30"/>
      <x:c r="H89" s="30"/>
      <x:c r="I89" s="30"/>
      <x:c r="J89" s="30"/>
      <x:c r="K89" s="30"/>
      <x:c r="L89" s="28"/>
      <x:c r="M89" s="30"/>
      <x:c r="N89" s="30"/>
    </x:row>
    <x:row r="90">
      <x:c r="B90" s="84"/>
      <x:c r="C90" s="84"/>
      <x:c r="D90" s="84"/>
      <x:c r="E90" s="84"/>
      <x:c r="F90" s="30"/>
      <x:c r="G90" s="30"/>
      <x:c r="H90" s="30"/>
      <x:c r="I90" s="30"/>
      <x:c r="J90" s="30"/>
      <x:c r="K90" s="30"/>
      <x:c r="L90" s="28"/>
      <x:c r="M90" s="30"/>
      <x:c r="N90" s="30"/>
    </x:row>
    <x:row r="91">
      <x:c r="B91" s="84"/>
      <x:c r="C91" s="84"/>
      <x:c r="D91" s="84"/>
      <x:c r="E91" s="84"/>
      <x:c r="F91" s="30"/>
      <x:c r="G91" s="30"/>
      <x:c r="H91" s="30"/>
      <x:c r="I91" s="30"/>
      <x:c r="J91" s="30"/>
      <x:c r="K91" s="30"/>
      <x:c r="L91" s="28"/>
      <x:c r="M91" s="30"/>
      <x:c r="N91" s="30"/>
    </x:row>
    <x:row r="92">
      <x:c r="B92" s="84"/>
      <x:c r="C92" s="84"/>
      <x:c r="D92" s="84"/>
      <x:c r="E92" s="84"/>
      <x:c r="F92" s="30"/>
      <x:c r="G92" s="30"/>
      <x:c r="H92" s="30"/>
      <x:c r="I92" s="30"/>
      <x:c r="J92" s="30"/>
      <x:c r="K92" s="30"/>
      <x:c r="L92" s="28"/>
      <x:c r="M92" s="30"/>
      <x:c r="N92" s="30"/>
    </x:row>
    <x:row r="93">
      <x:c r="B93" s="84"/>
      <x:c r="C93" s="84"/>
      <x:c r="D93" s="84"/>
      <x:c r="E93" s="84"/>
      <x:c r="F93" s="30"/>
      <x:c r="G93" s="30"/>
      <x:c r="H93" s="30"/>
      <x:c r="I93" s="30"/>
      <x:c r="J93" s="30"/>
      <x:c r="K93" s="30"/>
      <x:c r="L93" s="28"/>
      <x:c r="M93" s="30"/>
      <x:c r="N93" s="30"/>
    </x:row>
    <x:row r="94">
      <x:c r="B94" s="84"/>
      <x:c r="C94" s="84"/>
      <x:c r="D94" s="84"/>
      <x:c r="E94" s="84"/>
      <x:c r="F94" s="30"/>
      <x:c r="G94" s="30"/>
      <x:c r="H94" s="30"/>
      <x:c r="I94" s="30"/>
      <x:c r="J94" s="30"/>
      <x:c r="K94" s="30"/>
      <x:c r="L94" s="28"/>
      <x:c r="M94" s="30"/>
      <x:c r="N94" s="30"/>
    </x:row>
    <x:row r="95">
      <x:c r="B95" s="84"/>
      <x:c r="C95" s="84"/>
      <x:c r="D95" s="84"/>
      <x:c r="E95" s="84"/>
      <x:c r="F95" s="30"/>
      <x:c r="G95" s="30"/>
      <x:c r="H95" s="30"/>
      <x:c r="I95" s="30"/>
      <x:c r="J95" s="30"/>
      <x:c r="K95" s="30"/>
      <x:c r="L95" s="28"/>
      <x:c r="M95" s="30"/>
      <x:c r="N95" s="30"/>
    </x:row>
    <x:row r="96">
      <x:c r="B96" s="84"/>
      <x:c r="C96" s="84"/>
      <x:c r="D96" s="84"/>
      <x:c r="E96" s="84"/>
      <x:c r="F96" s="30"/>
      <x:c r="G96" s="30"/>
      <x:c r="H96" s="30"/>
      <x:c r="I96" s="30"/>
      <x:c r="J96" s="30"/>
      <x:c r="K96" s="30"/>
      <x:c r="L96" s="28"/>
      <x:c r="M96" s="30"/>
      <x:c r="N96" s="30"/>
    </x:row>
    <x:row r="97">
      <x:c r="B97" s="84"/>
      <x:c r="C97" s="84"/>
      <x:c r="D97" s="84"/>
      <x:c r="E97" s="84"/>
      <x:c r="F97" s="30"/>
      <x:c r="G97" s="30"/>
      <x:c r="H97" s="30"/>
      <x:c r="I97" s="30"/>
      <x:c r="J97" s="30"/>
      <x:c r="K97" s="30"/>
      <x:c r="L97" s="28"/>
      <x:c r="M97" s="30"/>
      <x:c r="N97" s="30"/>
    </x:row>
    <x:row r="98">
      <x:c r="B98" s="84"/>
      <x:c r="C98" s="84"/>
      <x:c r="D98" s="84"/>
      <x:c r="E98" s="84"/>
      <x:c r="F98" s="30"/>
      <x:c r="G98" s="30"/>
      <x:c r="H98" s="30"/>
      <x:c r="I98" s="30"/>
      <x:c r="J98" s="30"/>
      <x:c r="K98" s="30"/>
      <x:c r="L98" s="28"/>
      <x:c r="M98" s="30"/>
      <x:c r="N98" s="30"/>
    </x:row>
    <x:row r="99">
      <x:c r="B99" s="84"/>
      <x:c r="C99" s="84"/>
      <x:c r="D99" s="84"/>
      <x:c r="E99" s="84"/>
      <x:c r="F99" s="30"/>
      <x:c r="G99" s="30"/>
      <x:c r="H99" s="30"/>
      <x:c r="I99" s="30"/>
      <x:c r="J99" s="30"/>
      <x:c r="K99" s="30"/>
      <x:c r="L99" s="28"/>
      <x:c r="M99" s="30"/>
      <x:c r="N99" s="30"/>
    </x:row>
    <x:row r="100">
      <x:c r="B100" s="84"/>
      <x:c r="C100" s="84"/>
      <x:c r="D100" s="84"/>
      <x:c r="E100" s="84"/>
      <x:c r="F100" s="30"/>
      <x:c r="G100" s="30"/>
      <x:c r="H100" s="30"/>
      <x:c r="I100" s="30"/>
      <x:c r="J100" s="30"/>
      <x:c r="K100" s="30"/>
      <x:c r="L100" s="28"/>
      <x:c r="M100" s="30"/>
      <x:c r="N100" s="30"/>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28" hidden="0" customWidth="1"/>
    <x:col min="2" max="2" width="20" hidden="0" customWidth="1"/>
    <x:col min="3" max="3" width="12" hidden="0" customWidth="1"/>
    <x:col min="4" max="4" width="50" hidden="0" customWidth="1"/>
    <x:col min="6" max="6" width="18" hidden="0" customWidth="1"/>
    <x:col min="7" max="7" width="18" hidden="0" customWidth="1"/>
    <x:col min="8" max="8" width="18" hidden="0" customWidth="1"/>
    <x:col min="9" max="9" width="18" hidden="0" customWidth="1"/>
    <x:col min="5" max="5" width="18" hidden="0" customWidth="1"/>
  </x:cols>
  <x:sheetData>
    <x:row r="1">
      <x:c r="A1" s="93" t="str">
        <x:v>Hail × Solar v1.0 curve dashboard</x:v>
      </x:c>
      <x:c r="B1" s="93"/>
      <x:c r="C1" s="93"/>
      <x:c r="D1" s="93"/>
      <x:c r="E1" s="93"/>
      <x:c r="F1" s="93"/>
      <x:c r="G1" s="93"/>
      <x:c r="H1" s="93"/>
      <x:c r="I1" s="93"/>
      <x:c r="J1" s="93"/>
      <x:c r="K1" s="93"/>
      <x:c r="L1" s="93"/>
      <x:c r="M1" s="24"/>
      <x:c r="N1" s="24"/>
      <x:c r="O1" s="24"/>
      <x:c r="P1" s="24"/>
      <x:c r="Q1" s="24"/>
      <x:c r="R1" s="24"/>
      <x:c r="S1" s="24"/>
      <x:c r="T1" s="24"/>
      <x:c r="U1" s="24"/>
      <x:c r="V1" s="24"/>
      <x:c r="W1" s="24"/>
      <x:c r="X1" s="24"/>
      <x:c r="Y1" s="24"/>
      <x:c r="Z1" s="24"/>
    </x:row>
    <x:row r="3">
      <x:c r="A3" s="99" t="str">
        <x:v>KPI</x:v>
      </x:c>
      <x:c r="B3" s="99" t="str">
        <x:v>Value</x:v>
      </x:c>
      <x:c r="C3" s="99" t="str">
        <x:v>Unit</x:v>
      </x:c>
      <x:c r="D3" s="99" t="str">
        <x:v>Comment</x:v>
      </x:c>
      <x:c r="F3" s="99" t="str">
        <x:v>MESH mm</x:v>
      </x:c>
      <x:c r="G3" s="99" t="str">
        <x:v>Default module DR</x:v>
      </x:c>
      <x:c r="H3" s="99" t="str">
        <x:v>Default %TIV</x:v>
      </x:c>
      <x:c r="I3" s="99" t="str">
        <x:v>Default loss USD</x:v>
      </x:c>
    </x:row>
    <x:row r="4">
      <x:c r="A4" t="str">
        <x:v>Default asset size</x:v>
      </x:c>
      <x:c r="B4" s="83" t="n">
        <x:v>100</x:v>
      </x:c>
      <x:c r="C4" t="str">
        <x:v>MWdc</x:v>
      </x:c>
      <x:c r="D4" t="str">
        <x:v>From Asset_Inputs.</x:v>
      </x:c>
      <x:c r="F4" t="n">
        <x:v>25</x:v>
      </x:c>
      <x:c r="G4" s="30" t="n">
        <x:v>0.010000000000000028</x:v>
      </x:c>
      <x:c r="H4" s="30" t="n">
        <x:v>0.0020801060817137547</x:v>
      </x:c>
      <x:c r="I4" s="28" t="n">
        <x:v>232971.88115194056</x:v>
      </x:c>
    </x:row>
    <x:row r="5">
      <x:c r="A5" t="str">
        <x:v>Installed capex / TIV</x:v>
      </x:c>
      <x:c r="B5" s="28" t="n">
        <x:v>112000000</x:v>
      </x:c>
      <x:c r="C5" t="str">
        <x:v>USD</x:v>
      </x:c>
      <x:c r="D5" t="str">
        <x:v>Default 100 MWdc solar asset.</x:v>
      </x:c>
      <x:c r="F5" t="n">
        <x:v>35</x:v>
      </x:c>
      <x:c r="G5" s="30" t="n">
        <x:v>0.05040253045391812</x:v>
      </x:c>
      <x:c r="H5" s="30" t="n">
        <x:v>0.010484261013095752</x:v>
      </x:c>
      <x:c r="I5" s="28" t="n">
        <x:v>1174237.2334667244</x:v>
      </x:c>
    </x:row>
    <x:row r="6">
      <x:c r="A6" t="str">
        <x:v>Physical replaceable base</x:v>
      </x:c>
      <x:c r="B6" s="28" t="n">
        <x:v>87779570.23626667</x:v>
      </x:c>
      <x:c r="C6" t="str">
        <x:v>USD</x:v>
      </x:c>
      <x:c r="D6" t="str">
        <x:v>Physical damage denominator.</x:v>
      </x:c>
      <x:c r="F6" t="n">
        <x:v>40</x:v>
      </x:c>
      <x:c r="G6" s="30" t="n">
        <x:v>0.10847291856463541</x:v>
      </x:c>
      <x:c r="H6" s="30" t="n">
        <x:v>0.022563517760753833</x:v>
      </x:c>
      <x:c r="I6" s="28" t="n">
        <x:v>2527113.9892044296</x:v>
      </x:c>
    </x:row>
    <x:row r="7">
      <x:c r="A7" t="str">
        <x:v>PV_ARRAY share of physical base</x:v>
      </x:c>
      <x:c r="B7" s="30" t="n">
        <x:v>0.3317569801903719</x:v>
      </x:c>
      <x:c r="C7" t="str">
        <x:v>%</x:v>
      </x:c>
      <x:c r="D7" t="str">
        <x:v>From valuation workbook.</x:v>
      </x:c>
      <x:c r="F7" t="n">
        <x:v>45</x:v>
      </x:c>
      <x:c r="G7" s="30" t="n">
        <x:v>0.21808285131604127</x:v>
      </x:c>
      <x:c r="H7" s="30" t="n">
        <x:v>0.045363546533997275</x:v>
      </x:c>
      <x:c r="I7" s="28" t="n">
        <x:v>5080717.211807694</x:v>
      </x:c>
    </x:row>
    <x:row r="8">
      <x:c r="A8" t="str">
        <x:v>Hail at-risk f</x:v>
      </x:c>
      <x:c r="B8" s="30" t="n">
        <x:v>0.8</x:v>
      </x:c>
      <x:c r="C8" t="str">
        <x:v>%</x:v>
      </x:c>
      <x:c r="D8" t="str">
        <x:v>Placeholder material-share f.</x:v>
      </x:c>
      <x:c r="F8" t="n">
        <x:v>50</x:v>
      </x:c>
      <x:c r="G8" s="30" t="n">
        <x:v>0.39</x:v>
      </x:c>
      <x:c r="H8" s="30" t="n">
        <x:v>0.08112413718683621</x:v>
      </x:c>
      <x:c r="I8" s="28" t="n">
        <x:v>9085903.364925656</x:v>
      </x:c>
    </x:row>
    <x:row r="9">
      <x:c r="A9" t="str">
        <x:v>Module failure-unit cap</x:v>
      </x:c>
      <x:c r="B9" s="28" t="n">
        <x:v>23297188.11519399</x:v>
      </x:c>
      <x:c r="C9" t="str">
        <x:v>USD</x:v>
      </x:c>
      <x:c r="D9" t="str">
        <x:v>physical_base × PV_ARRAY share × f × exposure.</x:v>
      </x:c>
      <x:c r="F9" t="n">
        <x:v>55</x:v>
      </x:c>
      <x:c r="G9" s="30" t="n">
        <x:v>0.5944154940093985</x:v>
      </x:c>
      <x:c r="H9" s="30" t="n">
        <x:v>0.12364472841538324</x:v>
      </x:c>
      <x:c r="I9" s="28" t="n">
        <x:v>13848209.582522923</x:v>
      </x:c>
    </x:row>
    <x:row r="10">
      <x:c r="A10" t="str">
        <x:v>Cap as % physical base</x:v>
      </x:c>
      <x:c r="B10" s="30" t="n">
        <x:v>0.26540558415229754</x:v>
      </x:c>
      <x:c r="C10" t="str">
        <x:v>%</x:v>
      </x:c>
      <x:c r="D10" t="str">
        <x:v>Maximum primary module loss as % physical base.</x:v>
      </x:c>
      <x:c r="F10" t="n">
        <x:v>65</x:v>
      </x:c>
      <x:c r="G10" s="30" t="n">
        <x:v>0.8850729367231496</x:v>
      </x:c>
      <x:c r="H10" s="30" t="n">
        <x:v>0.18410455984380716</x:v>
      </x:c>
      <x:c r="I10" s="28" t="n">
        <x:v>20619710.7025064</x:v>
      </x:c>
    </x:row>
    <x:row r="11">
      <x:c r="A11" t="str">
        <x:v>Cap as % installed capex/TIV</x:v>
      </x:c>
      <x:c r="B11" s="30" t="n">
        <x:v>0.2080106081713749</x:v>
      </x:c>
      <x:c r="C11" t="str">
        <x:v>%</x:v>
      </x:c>
      <x:c r="D11" t="str">
        <x:v>Maximum primary module loss as % TIV.</x:v>
      </x:c>
      <x:c r="F11" t="n">
        <x:v>76</x:v>
      </x:c>
      <x:c r="G11" s="30" t="n">
        <x:v>0.9794957902205231</x:v>
      </x:c>
      <x:c r="H11" s="30" t="n">
        <x:v>0.20374551502507246</x:v>
      </x:c>
      <x:c r="I11" s="28" t="n">
        <x:v>22819497.682808116</x:v>
      </x:c>
    </x:row>
    <x:row r="12">
      <x:c r="A12" t="str">
        <x:v>Default curve D50</x:v>
      </x:c>
      <x:c r="B12" s="84" t="n">
        <x:v>52.69607620290103</x:v>
      </x:c>
      <x:c r="C12" t="str">
        <x:v>mm</x:v>
      </x:c>
      <x:c r="D12" t="str">
        <x:v>3.2mm glass//backsheet selected default.</x:v>
      </x:c>
    </x:row>
  </x:sheetData>
  <x:mergeCells>
    <x:mergeCell ref="A1:L1"/>
  </x:mergeCells>
  <x:pageMargins left="0.7" right="0.7" top="0.75" bottom="0.75" header="0.3" footer="0.3"/>
  <x:drawing xmlns:r="http://schemas.openxmlformats.org/officeDocument/2006/relationships" r:id="R42aff172289b41a9"/>
</x:worksheet>
</file>

<file path=xl/worksheets/sheet25.xml><?xml version="1.0" encoding="utf-8"?>
<x:worksheet xmlns:x="http://schemas.openxmlformats.org/spreadsheetml/2006/main">
  <x:sheetFormatPr defaultRowHeight="15"/>
  <x:cols>
    <x:col min="1" max="1" width="24" hidden="0" customWidth="1"/>
    <x:col min="2" max="2" width="2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x:c r="A1" s="93" t="str">
        <x:v>Hail × Solar v1.0 QA and cap-binding interpretation</x:v>
      </x:c>
      <x:c r="B1" s="93"/>
      <x:c r="C1" s="93"/>
      <x:c r="D1" s="93"/>
      <x:c r="E1" s="93"/>
      <x:c r="F1" s="93"/>
      <x:c r="G1" s="93"/>
      <x:c r="H1" s="93"/>
      <x:c r="I1" s="24"/>
      <x:c r="J1" s="24"/>
      <x:c r="K1" s="24"/>
      <x:c r="L1" s="24"/>
      <x:c r="M1" s="24"/>
      <x:c r="N1" s="24"/>
      <x:c r="O1" s="24"/>
      <x:c r="P1" s="24"/>
      <x:c r="Q1" s="24"/>
      <x:c r="R1" s="24"/>
      <x:c r="S1" s="24"/>
      <x:c r="T1" s="24"/>
      <x:c r="U1" s="24"/>
      <x:c r="V1" s="24"/>
      <x:c r="W1" s="24"/>
      <x:c r="X1" s="24"/>
      <x:c r="Y1" s="24"/>
      <x:c r="Z1" s="24"/>
    </x:row>
    <x:row r="3">
      <x:c r="A3" s="99" t="str">
        <x:v>check</x:v>
      </x:c>
      <x:c r="B3" s="99" t="str">
        <x:v>result</x:v>
      </x:c>
      <x:c r="C3" s="99" t="str">
        <x:v>status</x:v>
      </x:c>
      <x:c r="D3" s="99" t="str">
        <x:v>notes</x:v>
      </x:c>
    </x:row>
    <x:row r="4">
      <x:c r="A4" t="str">
        <x:v>Primary axis</x:v>
      </x:c>
      <x:c r="B4" t="str">
        <x:v>HAIL_DIAMETER_MESH_EQUIV; mm internal, inches accepted</x:v>
      </x:c>
      <x:c r="C4" t="str">
        <x:v>PASS</x:v>
      </x:c>
      <x:c r="D4" t="str">
        <x:v>Matches operational NOAA/MRMS and Storm Events style data.</x:v>
      </x:c>
    </x:row>
    <x:row r="5">
      <x:c r="A5" t="str">
        <x:v>Physics bridge</x:v>
      </x:c>
      <x:c r="B5" t="str">
        <x:v>Diameter -&gt; mass/velocity -&gt; KE proxy, J/impact</x:v>
      </x:c>
      <x:c r="C5" t="str">
        <x:v>PASS</x:v>
      </x:c>
      <x:c r="D5" t="str">
        <x:v>Explicit bridge; not used as provider-native x-axis and not mislabeled as J/m².</x:v>
      </x:c>
    </x:row>
    <x:row r="6">
      <x:c r="A6" t="str">
        <x:v>Default curve</x:v>
      </x:c>
      <x:c r="B6" t="str">
        <x:v>3.2mm glass//backsheet logistic, D50 52.70mm, k 0.1659</x:v>
      </x:c>
      <x:c r="C6" t="str">
        <x:v>PASS_WITH_CAVEAT</x:v>
      </x:c>
      <x:c r="D6" t="str">
        <x:v>Only two public anchors; use BOM-specific reports where available.</x:v>
      </x:c>
    </x:row>
    <x:row r="7">
      <x:c r="A7" t="str">
        <x:v>Fragile curve</x:v>
      </x:c>
      <x:c r="B7" t="str">
        <x:v>2.0mm glass//glass logistic, D50 41.07mm, k 0.2206</x:v>
      </x:c>
      <x:c r="C7" t="str">
        <x:v>PASS_WITH_CAVEAT</x:v>
      </x:c>
      <x:c r="D7" t="str">
        <x:v>Public aggregate points differ across years; used as high/fragile sensitivity.</x:v>
      </x:c>
    </x:row>
    <x:row r="8">
      <x:c r="A8" t="str">
        <x:v>Hardened curve</x:v>
      </x:c>
      <x:c r="B8" t="str">
        <x:v>thicker/hail-hardened logistic, D50 64.11mm, k 0.1353</x:v>
      </x:c>
      <x:c r="C8" t="str">
        <x:v>PASS_WITH_CAVEAT</x:v>
      </x:c>
      <x:c r="D8" t="str">
        <x:v>Tail extrapolated from 25mm and 45mm anchors; low/medium confidence.</x:v>
      </x:c>
    </x:row>
    <x:row r="9">
      <x:c r="A9" t="str">
        <x:v>Value cap</x:v>
      </x:c>
      <x:c r="B9" t="n">
        <x:f>Hail_V1_Derivation!B16</x:f>
        <x:v>23297188.11519399</x:v>
      </x:c>
      <x:c r="C9" t="str">
        <x:v>FORMULA</x:v>
      </x:c>
      <x:c r="D9" t="str">
        <x:v>Cap USD for module glass/cell exposed value.</x:v>
      </x:c>
    </x:row>
    <x:row r="10">
      <x:c r="A10" t="str">
        <x:v>Cap % physical base</x:v>
      </x:c>
      <x:c r="B10" t="n">
        <x:f>Hail_V1_Derivation!B17</x:f>
        <x:v>0.26540558415229754</x:v>
      </x:c>
      <x:c r="C10" t="str">
        <x:v>FORMULA</x:v>
      </x:c>
      <x:c r="D10" t="str">
        <x:v>Maximum module failure-unit contribution as % physical base.</x:v>
      </x:c>
    </x:row>
    <x:row r="11">
      <x:c r="A11" t="str">
        <x:v>Cap % TIV</x:v>
      </x:c>
      <x:c r="B11" t="n">
        <x:f>Hail_V1_Derivation!B18</x:f>
        <x:v>0.2080106081713749</x:v>
      </x:c>
      <x:c r="C11" t="str">
        <x:v>FORMULA</x:v>
      </x:c>
      <x:c r="D11" t="str">
        <x:v>Maximum module failure-unit contribution as % installed capex/TIV.</x:v>
      </x:c>
    </x:row>
    <x:row r="12">
      <x:c r="A12" t="str">
        <x:v>EAL status</x:v>
      </x:c>
      <x:c r="B12" t="str">
        <x:v>CONDITIONAL</x:v>
      </x:c>
      <x:c r="C12" t="str">
        <x:v>NEEDS_HAZARD_FREQUENCY</x:v>
      </x:c>
      <x:c r="D12" t="str">
        <x:v>This curve is severity conditional on D. EAL requires an exceedance distribution for MESH at site.</x:v>
      </x:c>
    </x:row>
    <x:row r="13">
      <x:c r="A13" t="str">
        <x:v>Tail status</x:v>
      </x:c>
      <x:c r="B13" t="str">
        <x:v>WITHHOLD until distribution/spread exists</x:v>
      </x:c>
      <x:c r="C13" t="str">
        <x:v>WITHHOLD</x:v>
      </x:c>
      <x:c r="D13" t="str">
        <x:v>Scalar/logistic curve is not enough for tail metrics without hazard frequency + uncertainty/spread.</x:v>
      </x:c>
    </x:row>
    <x:row r="14">
      <x:c r="A14" t="str">
        <x:v>Open seam 1</x:v>
      </x:c>
      <x:c r="B14" t="str">
        <x:v>module-BOM f</x:v>
      </x:c>
      <x:c r="C14" t="str">
        <x:v>OPEN</x:v>
      </x:c>
      <x:c r="D14" t="str">
        <x:v>Current f=0.8 placeholder is load-bearing; module cost split needs sourcing or plant-specific override.</x:v>
      </x:c>
    </x:row>
    <x:row r="15">
      <x:c r="A15" t="str">
        <x:v>Open seam 2</x:v>
      </x:c>
      <x:c r="B15" t="str">
        <x:v>stow / forecast correlation</x:v>
      </x:c>
      <x:c r="C15" t="str">
        <x:v>OPEN</x:v>
      </x:c>
      <x:c r="D15" t="str">
        <x:v>Curve assumes unstowed/default impact; stow should become a conditioner or scenario factor.</x:v>
      </x:c>
    </x:row>
  </x:sheetData>
  <x:mergeCells>
    <x:mergeCell ref="A1:H1"/>
  </x:mergeCells>
  <x:pageMargins left="0.7" right="0.7" top="0.75" bottom="0.75" header="0.3" footer="0.3"/>
</x:worksheet>
</file>

<file path=xl/worksheets/sheet26.xml><?xml version="1.0" encoding="utf-8"?>
<x:worksheet xmlns:x="http://schemas.openxmlformats.org/spreadsheetml/2006/main">
  <x:sheetFormatPr defaultRowHeight="15"/>
  <x:cols>
    <x:col min="1" max="1" width="28" hidden="0" customWidth="1"/>
    <x:col min="2" max="2" width="24" hidden="0" customWidth="1"/>
    <x:col min="3" max="3" width="18" hidden="0" customWidth="1"/>
    <x:col min="4" max="4" width="44" hidden="0" customWidth="1"/>
  </x:cols>
  <x:sheetData>
    <x:row r="1" ht="28" customHeight="1">
      <x:c r="A1" s="106" t="str">
        <x:v>Hail × Solar v1.1 — Site Inputs</x:v>
      </x:c>
      <x:c r="B1" s="106"/>
      <x:c r="C1" s="106"/>
      <x:c r="D1" s="106"/>
    </x:row>
    <x:row r="2" ht="28" customHeight="1">
      <x:c r="A2" s="109" t="str">
        <x:v>Editable interface for turning the generic hail severity curve into a site-conditioned loss view. Yellow cells are inputs; blue cells are formulas.</x:v>
      </x:c>
      <x:c r="B2" s="109"/>
      <x:c r="C2" s="109"/>
      <x:c r="D2" s="109"/>
    </x:row>
    <x:row r="4">
      <x:c r="A4" s="114" t="str">
        <x:v>Input</x:v>
      </x:c>
      <x:c r="B4" s="114" t="str">
        <x:v>Value</x:v>
      </x:c>
      <x:c r="C4" s="114" t="str">
        <x:v>Unit</x:v>
      </x:c>
      <x:c r="D4" s="114" t="str">
        <x:v>Status / notes</x:v>
      </x:c>
    </x:row>
    <x:row r="5">
      <x:c r="A5" s="117" t="str">
        <x:v>Site ID</x:v>
      </x:c>
      <x:c r="B5" s="120" t="str">
        <x:v>Example_Solar_TX_Generic</x:v>
      </x:c>
      <x:c r="C5" t="str">
        <x:v>text</x:v>
      </x:c>
      <x:c r="D5" t="str">
        <x:v>User-editable label; not a sourced hazard site.</x:v>
      </x:c>
    </x:row>
    <x:row r="6">
      <x:c r="A6" s="117" t="str">
        <x:v>Latitude</x:v>
      </x:c>
      <x:c r="B6" s="120" t="n">
        <x:v>32.75</x:v>
      </x:c>
      <x:c r="C6" t="str">
        <x:v>decimal degrees</x:v>
      </x:c>
      <x:c r="D6" t="str">
        <x:v>Placeholder; replace with site latitude for hazard lookup.</x:v>
      </x:c>
    </x:row>
    <x:row r="7">
      <x:c r="A7" s="117" t="str">
        <x:v>Longitude</x:v>
      </x:c>
      <x:c r="B7" s="120" t="n">
        <x:v>-97.33</x:v>
      </x:c>
      <x:c r="C7" t="str">
        <x:v>decimal degrees</x:v>
      </x:c>
      <x:c r="D7" t="str">
        <x:v>Placeholder; replace with site longitude for hazard lookup.</x:v>
      </x:c>
    </x:row>
    <x:row r="8">
      <x:c r="A8" s="117" t="str">
        <x:v>Asset size</x:v>
      </x:c>
      <x:c r="B8" s="120" t="n">
        <x:v>100</x:v>
      </x:c>
      <x:c r="C8" t="str">
        <x:v>MWdc</x:v>
      </x:c>
      <x:c r="D8" t="str">
        <x:v>Default from prior valuation workbook.</x:v>
      </x:c>
    </x:row>
    <x:row r="9">
      <x:c r="A9" s="117" t="str">
        <x:v>Installed capex / TIV</x:v>
      </x:c>
      <x:c r="B9" s="124" t="n">
        <x:v>112000000</x:v>
      </x:c>
      <x:c r="C9" t="str">
        <x:v>USD</x:v>
      </x:c>
      <x:c r="D9" t="str">
        <x:v>Financial denominator used for %TIV view.</x:v>
      </x:c>
    </x:row>
    <x:row r="10">
      <x:c r="A10" s="117" t="str">
        <x:v>Physical replaceable base</x:v>
      </x:c>
      <x:c r="B10" s="124" t="n">
        <x:v>87779570.23626667</x:v>
      </x:c>
      <x:c r="C10" t="str">
        <x:v>USD</x:v>
      </x:c>
      <x:c r="D10" t="str">
        <x:v>Physical-damage denominator.</x:v>
      </x:c>
    </x:row>
    <x:row r="11">
      <x:c r="A11" s="117" t="str">
        <x:v>PV_ARRAY share of physical base</x:v>
      </x:c>
      <x:c r="B11" s="125" t="n">
        <x:v>0.3317569801903719</x:v>
      </x:c>
      <x:c r="C11" t="str">
        <x:v>fraction</x:v>
      </x:c>
      <x:c r="D11" t="str">
        <x:v>From valuation workbook.</x:v>
      </x:c>
    </x:row>
    <x:row r="12">
      <x:c r="A12" s="117" t="str">
        <x:v>Hail at-risk f</x:v>
      </x:c>
      <x:c r="B12" s="125" t="n">
        <x:v>0.8</x:v>
      </x:c>
      <x:c r="C12" t="str">
        <x:v>fraction</x:v>
      </x:c>
      <x:c r="D12" t="str">
        <x:v>Placeholder material-share f; load-bearing for cap.</x:v>
      </x:c>
    </x:row>
    <x:row r="13">
      <x:c r="A13" s="117" t="str">
        <x:v>Footprint exposure fraction</x:v>
      </x:c>
      <x:c r="B13" s="125" t="n">
        <x:v>1</x:v>
      </x:c>
      <x:c r="C13" t="str">
        <x:v>fraction</x:v>
      </x:c>
      <x:c r="D13" t="str">
        <x:v>Fraction of the site footprint hit by the hail swath.</x:v>
      </x:c>
    </x:row>
    <x:row r="14">
      <x:c r="A14" s="117" t="str">
        <x:v>Module archetype</x:v>
      </x:c>
      <x:c r="B14" s="120" t="str">
        <x:v>Default 3.2mm GBS</x:v>
      </x:c>
      <x:c r="C14" t="str">
        <x:v>selector</x:v>
      </x:c>
      <x:c r="D14" t="str">
        <x:v>Choose fragile/default/hardened curve.</x:v>
      </x:c>
    </x:row>
    <x:row r="15">
      <x:c r="A15" s="117" t="str">
        <x:v>Stow mode</x:v>
      </x:c>
      <x:c r="B15" s="120" t="str">
        <x:v>Probabilistic</x:v>
      </x:c>
      <x:c r="C15" t="str">
        <x:v>conditioner</x:v>
      </x:c>
      <x:c r="D15" t="str">
        <x:v>Unstowed, Stowed, or Probabilistic.</x:v>
      </x:c>
    </x:row>
    <x:row r="16">
      <x:c r="A16" s="117" t="str">
        <x:v>P(stowed)</x:v>
      </x:c>
      <x:c r="B16" s="125" t="n">
        <x:v>0.6</x:v>
      </x:c>
      <x:c r="C16" t="str">
        <x:v>probability</x:v>
      </x:c>
      <x:c r="D16" t="str">
        <x:v>Scenario assumption; not a forecast-skill model.</x:v>
      </x:c>
    </x:row>
    <x:row r="17">
      <x:c r="A17" s="117" t="str">
        <x:v>Stow D50 shift</x:v>
      </x:c>
      <x:c r="B17" s="120" t="n">
        <x:v>8</x:v>
      </x:c>
      <x:c r="C17" t="str">
        <x:v>mm</x:v>
      </x:c>
      <x:c r="D17" t="str">
        <x:v>Placeholder: stow shifts effective curve right.</x:v>
      </x:c>
    </x:row>
    <x:row r="18">
      <x:c r="A18" s="117" t="str">
        <x:v>Stowed max DR multiplier</x:v>
      </x:c>
      <x:c r="B18" s="120" t="n">
        <x:v>0.9</x:v>
      </x:c>
      <x:c r="C18" t="str">
        <x:v>multiplier</x:v>
      </x:c>
      <x:c r="D18" t="str">
        <x:v>Placeholder: stowed high-end damage may remain below unstowed cap.</x:v>
      </x:c>
    </x:row>
    <x:row r="19">
      <x:c r="A19" s="117" t="str">
        <x:v>Selected base D50</x:v>
      </x:c>
      <x:c r="B19" s="126" t="n">
        <x:f>IF(B14="Fragile thin GG",'Hail_Conditioning'!$B$5,IF(B14="Hail-hardened",'Hail_Conditioning'!$B$7,'Hail_Conditioning'!$B$6))</x:f>
        <x:v>52.69607620290103</x:v>
      </x:c>
      <x:c r="C19" t="str">
        <x:v>mm</x:v>
      </x:c>
      <x:c r="D19" t="str">
        <x:v>Formula from selected module archetype.</x:v>
      </x:c>
    </x:row>
    <x:row r="20">
      <x:c r="A20" s="117" t="str">
        <x:v>Selected base k</x:v>
      </x:c>
      <x:c r="B20" s="126" t="n">
        <x:f>IF(B14="Fragile thin GG",'Hail_Conditioning'!$C$5,IF(B14="Hail-hardened",'Hail_Conditioning'!$C$7,'Hail_Conditioning'!$C$6))</x:f>
        <x:v>0.1659123052836369</x:v>
      </x:c>
      <x:c r="C20" t="str">
        <x:v>1/mm</x:v>
      </x:c>
      <x:c r="D20" t="str">
        <x:v>Formula from selected module archetype.</x:v>
      </x:c>
    </x:row>
    <x:row r="21">
      <x:c r="A21" s="117" t="str">
        <x:v>Failure-unit cap</x:v>
      </x:c>
      <x:c r="B21" s="127" t="n">
        <x:f>B10*B11*B12*B13</x:f>
        <x:v>23297188.11519399</x:v>
      </x:c>
      <x:c r="C21" t="str">
        <x:v>USD</x:v>
      </x:c>
      <x:c r="D21" t="str">
        <x:v>physical base × PV_ARRAY share × f × exposure.</x:v>
      </x:c>
    </x:row>
    <x:row r="22">
      <x:c r="A22" s="117" t="str">
        <x:v>Cap as % physical base</x:v>
      </x:c>
      <x:c r="B22" s="128" t="n">
        <x:f>B21/B10</x:f>
        <x:v>0.2654055841522976</x:v>
      </x:c>
      <x:c r="C22" t="str">
        <x:v>%</x:v>
      </x:c>
      <x:c r="D22" t="str">
        <x:v>Failure-unit cap divided by physical base.</x:v>
      </x:c>
    </x:row>
    <x:row r="23">
      <x:c r="A23" s="117" t="str">
        <x:v>Cap as % TIV</x:v>
      </x:c>
      <x:c r="B23" s="128" t="n">
        <x:f>B21/B9</x:f>
        <x:v>0.2080106081713749</x:v>
      </x:c>
      <x:c r="C23" t="str">
        <x:v>%</x:v>
      </x:c>
      <x:c r="D23" t="str">
        <x:v>Failure-unit cap divided by installed capex / TIV.</x:v>
      </x:c>
    </x:row>
    <x:row r="24">
      <x:c r="A24" s="117" t="str">
        <x:v>Hazard frequency source</x:v>
      </x:c>
      <x:c r="B24" t="str">
        <x:v>Illustrative editable AEP table</x:v>
      </x:c>
      <x:c r="C24" t="str">
        <x:v>text</x:v>
      </x:c>
      <x:c r="D24" t="str">
        <x:v>Replace with site-specific MESH frequency curve before underwriting use.</x:v>
      </x:c>
    </x:row>
    <x:row r="25">
      <x:c r="A25" s="117" t="str">
        <x:v>Use note</x:v>
      </x:c>
      <x:c r="B25" t="str">
        <x:v>v1.1 interface only</x:v>
      </x:c>
      <x:c r="C25" t="str">
        <x:v>text</x:v>
      </x:c>
      <x:c r="D25" t="str">
        <x:v>Severity curve is derived; site frequency table is illustrative until replaced.</x:v>
      </x:c>
    </x:row>
  </x:sheetData>
  <x:mergeCells>
    <x:mergeCell ref="A1:D1"/>
    <x:mergeCell ref="A2:D2"/>
  </x:mergeCells>
  <x:dataValidations count="2">
    <x:dataValidation type="list" sqref="B14">
      <x:formula1>"Fragile thin GG,Default 3.2mm GBS,Hail-hardened"</x:formula1>
    </x:dataValidation>
    <x:dataValidation type="list" sqref="B15">
      <x:formula1>"Unstowed,Stowed,Probabilistic"</x:formula1>
    </x:dataValidation>
  </x:dataValidations>
  <x:pageMargins left="0.7" right="0.7" top="0.75" bottom="0.75" header="0.3" footer="0.3"/>
  <x:tableParts count="1">
    <x:tablePart xmlns:r="http://schemas.openxmlformats.org/officeDocument/2006/relationships" r:id="R6acd9e54e5004ef6"/>
  </x:tableParts>
</x:worksheet>
</file>

<file path=xl/worksheets/sheet27.xml><?xml version="1.0" encoding="utf-8"?>
<x:worksheet xmlns:x="http://schemas.openxmlformats.org/spreadsheetml/2006/main">
  <x:sheetFormatPr defaultRowHeight="15"/>
  <x:cols>
    <x:col min="1" max="1" width="12" hidden="0" customWidth="1"/>
    <x:col min="2" max="2" width="10" hidden="0" customWidth="1"/>
    <x:col min="3" max="3" width="12" hidden="0" customWidth="1"/>
    <x:col min="4" max="4" width="12" hidden="0" customWidth="1"/>
    <x:col min="5" max="5" width="12" hidden="0" customWidth="1"/>
    <x:col min="6" max="6" width="16" hidden="0" customWidth="1"/>
    <x:col min="7" max="7" width="16" hidden="0" customWidth="1"/>
    <x:col min="8" max="8" width="18" hidden="0" customWidth="1"/>
    <x:col min="9" max="9" width="14" hidden="0" customWidth="1"/>
    <x:col min="10" max="10" width="16" hidden="0" customWidth="1"/>
  </x:cols>
  <x:sheetData>
    <x:row r="1" ht="28" customHeight="1">
      <x:c r="A1" s="106" t="str">
        <x:v>Hail × Solar v1.1 — Module and Stow Conditioning</x:v>
      </x:c>
      <x:c r="B1" s="106"/>
      <x:c r="C1" s="106"/>
      <x:c r="D1" s="106"/>
      <x:c r="E1" s="106"/>
      <x:c r="F1" s="106"/>
      <x:c r="G1" s="106"/>
      <x:c r="H1" s="106"/>
      <x:c r="I1" s="106"/>
      <x:c r="J1" s="106"/>
    </x:row>
    <x:row r="2" ht="28" customHeight="1">
      <x:c r="A2" s="109" t="str">
        <x:v>Scenario layer: module archetype selects a base curve; stow state shifts the curve as an explicit placeholder conditioner. This is not yet a stochastic forecast/stow operations model.</x:v>
      </x:c>
      <x:c r="B2" s="109"/>
      <x:c r="C2" s="109"/>
      <x:c r="D2" s="109"/>
      <x:c r="E2" s="109"/>
      <x:c r="F2" s="109"/>
      <x:c r="G2" s="109"/>
      <x:c r="H2" s="109"/>
      <x:c r="I2" s="109"/>
      <x:c r="J2" s="109"/>
    </x:row>
    <x:row r="4">
      <x:c r="A4" s="114" t="str">
        <x:v>module_archetype</x:v>
      </x:c>
      <x:c r="B4" s="114" t="str">
        <x:v>D50_mm</x:v>
      </x:c>
      <x:c r="C4" s="114" t="str">
        <x:v>k_1_per_mm</x:v>
      </x:c>
      <x:c r="D4" s="114" t="str">
        <x:v>curve_status</x:v>
      </x:c>
      <x:c r="E4" s="114" t="str">
        <x:v>confidence</x:v>
      </x:c>
      <x:c r="F4" s="114" t="str">
        <x:v>source_anchor</x:v>
      </x:c>
      <x:c r="G4" s="114" t="str">
        <x:v>notes</x:v>
      </x:c>
    </x:row>
    <x:row r="5">
      <x:c r="A5" t="str">
        <x:v>Fragile thin GG</x:v>
      </x:c>
      <x:c r="B5" s="100" t="n">
        <x:v>41.07384158689197</x:v>
      </x:c>
      <x:c r="C5" s="100" t="n">
        <x:v>0.2206330604244443</x:v>
      </x:c>
      <x:c r="D5" t="str">
        <x:v>v1.0 derived</x:v>
      </x:c>
      <x:c r="E5" t="str">
        <x:v>medium</x:v>
      </x:c>
      <x:c r="F5" t="str">
        <x:v>PVEL/Kiwa thin glass anchors</x:v>
      </x:c>
      <x:c r="G5" t="str">
        <x:v>Upper/fragile scenario; use for sensitivity or thin glass//glass designs.</x:v>
      </x:c>
    </x:row>
    <x:row r="6">
      <x:c r="A6" t="str">
        <x:v>Default 3.2mm GBS</x:v>
      </x:c>
      <x:c r="B6" s="100" t="n">
        <x:v>52.69607620290103</x:v>
      </x:c>
      <x:c r="C6" s="100" t="n">
        <x:v>0.1659123052836369</x:v>
      </x:c>
      <x:c r="D6" t="str">
        <x:v>v1.0 derived</x:v>
      </x:c>
      <x:c r="E6" t="str">
        <x:v>medium</x:v>
      </x:c>
      <x:c r="F6" t="str">
        <x:v>IEC + PVEL/Kiwa 3.2mm GBS</x:v>
      </x:c>
      <x:c r="G6" t="str">
        <x:v>Default selected scenario.</x:v>
      </x:c>
    </x:row>
    <x:row r="7">
      <x:c r="A7" t="str">
        <x:v>Hail-hardened</x:v>
      </x:c>
      <x:c r="B7" s="100" t="n">
        <x:v>64.1138295233511</x:v>
      </x:c>
      <x:c r="C7" s="100" t="n">
        <x:v>0.1353307740313274</x:v>
      </x:c>
      <x:c r="D7" t="str">
        <x:v>v1.0 extrapolated</x:v>
      </x:c>
      <x:c r="E7" t="str">
        <x:v>low/medium</x:v>
      </x:c>
      <x:c r="F7" t="str">
        <x:v>IEC + PVEL/Kiwa thicker-glass anchor</x:v>
      </x:c>
      <x:c r="G7" t="str">
        <x:v>Lower/hardened scenario; tail is extrapolated.</x:v>
      </x:c>
    </x:row>
    <x:row r="10">
      <x:c r="A10" s="114" t="str">
        <x:v>stow_parameter</x:v>
      </x:c>
      <x:c r="B10" s="114" t="str">
        <x:v>default_value</x:v>
      </x:c>
      <x:c r="C10" s="114" t="str">
        <x:v>unit</x:v>
      </x:c>
      <x:c r="D10" s="114" t="str">
        <x:v>notes</x:v>
      </x:c>
    </x:row>
    <x:row r="11">
      <x:c r="A11" t="str">
        <x:v>stow_D50_shift_mm</x:v>
      </x:c>
      <x:c r="B11" s="100" t="n">
        <x:v>8</x:v>
      </x:c>
      <x:c r="C11" t="str">
        <x:v>mm</x:v>
      </x:c>
      <x:c r="D11" t="str">
        <x:v>Placeholder shift applied to selected D50 when stowed.</x:v>
      </x:c>
    </x:row>
    <x:row r="12">
      <x:c r="A12" t="str">
        <x:v>stowed_max_DR_multiplier</x:v>
      </x:c>
      <x:c r="B12" s="100" t="n">
        <x:v>0.9</x:v>
      </x:c>
      <x:c r="C12" t="str">
        <x:v>multiplier</x:v>
      </x:c>
      <x:c r="D12" t="str">
        <x:v>Placeholder cap multiplier for stowed curve.</x:v>
      </x:c>
    </x:row>
    <x:row r="15">
      <x:c r="A15" s="114" t="str">
        <x:v>D_mm</x:v>
      </x:c>
      <x:c r="B15" s="114" t="str">
        <x:v>D_in</x:v>
      </x:c>
      <x:c r="C15" s="114" t="str">
        <x:v>Fragile_DR</x:v>
      </x:c>
      <x:c r="D15" s="114" t="str">
        <x:v>Default_DR</x:v>
      </x:c>
      <x:c r="E15" s="114" t="str">
        <x:v>Hardened_DR</x:v>
      </x:c>
      <x:c r="F15" s="114" t="str">
        <x:v>Selected_unstowed_DR</x:v>
      </x:c>
      <x:c r="G15" s="114" t="str">
        <x:v>Selected_stowed_DR</x:v>
      </x:c>
      <x:c r="H15" s="114" t="str">
        <x:v>Selected_conditioned_DR</x:v>
      </x:c>
      <x:c r="I15" s="114" t="str">
        <x:v>Selected_%TIV</x:v>
      </x:c>
      <x:c r="J15" s="114" t="str">
        <x:v>Selected_loss_USD</x:v>
      </x:c>
    </x:row>
    <x:row r="16">
      <x:c r="A16" t="n">
        <x:v>0</x:v>
      </x:c>
      <x:c r="B16" s="84" t="n">
        <x:f>A16/25.4</x:f>
        <x:v>0</x:v>
      </x:c>
      <x:c r="C16" s="30" t="n">
        <x:f>1/(1+EXP(-$C$5*(A16-$B$5)))</x:f>
        <x:v>0.00011594862787987844</x:v>
      </x:c>
      <x:c r="D16" s="30" t="n">
        <x:f>1/(1+EXP(-$C$6*(A16-$B$6)))</x:f>
        <x:v>0.00015956055453832162</x:v>
      </x:c>
      <x:c r="E16" s="30" t="n">
        <x:f>1/(1+EXP(-$C$7*(A16-$B$7)))</x:f>
        <x:v>0.00017050521157988295</x:v>
      </x:c>
      <x:c r="F16" s="30" t="n">
        <x:f>1/(1+EXP(-'Hail_Site_Inputs'!$B$20*(A16-'Hail_Site_Inputs'!$B$19)))</x:f>
        <x:v>0.00015956055453832162</x:v>
      </x:c>
      <x:c r="G16" s="30" t="n">
        <x:f>'Hail_Site_Inputs'!$B$18/(1+EXP(-'Hail_Site_Inputs'!$B$20*(A16-('Hail_Site_Inputs'!$B$19+'Hail_Site_Inputs'!$B$17))))</x:f>
        <x:v>0.00003808733444710071</x:v>
      </x:c>
      <x:c r="H16" s="30" t="n">
        <x:f>IF('Hail_Site_Inputs'!$B$15="Unstowed",F16,IF('Hail_Site_Inputs'!$B$15="Stowed",G16,'Hail_Site_Inputs'!$B$16*G16+(1-'Hail_Site_Inputs'!$B$16)*F16))</x:f>
        <x:v>0.00008667662248358908</x:v>
      </x:c>
      <x:c r="I16" s="30" t="n">
        <x:f>H16*'Hail_Site_Inputs'!$B$11*'Hail_Site_Inputs'!$B$12*'Hail_Site_Inputs'!$B$13*'Hail_Site_Inputs'!$B$10/'Hail_Site_Inputs'!$B$9</x:f>
        <x:v>0.00001802965695705203</x:v>
      </x:c>
      <x:c r="J16" s="28" t="n">
        <x:f>H16*'Hail_Site_Inputs'!$B$21</x:f>
        <x:v>2019.3215791898276</x:v>
      </x:c>
    </x:row>
    <x:row r="17">
      <x:c r="A17" t="n">
        <x:v>5</x:v>
      </x:c>
      <x:c r="B17" s="84" t="n">
        <x:f>A17/25.4</x:f>
        <x:v>0.1968503937007874</x:v>
      </x:c>
      <x:c r="C17" s="30" t="n">
        <x:f>1/(1+EXP(-$C$5*(A17-$B$5)))</x:f>
        <x:v>0.0003493516732760803</x:v>
      </x:c>
      <x:c r="D17" s="30" t="n">
        <x:f>1/(1+EXP(-$C$6*(A17-$B$6)))</x:f>
        <x:v>0.0003656873918796337</x:v>
      </x:c>
      <x:c r="E17" s="30" t="n">
        <x:f>1/(1+EXP(-$C$7*(A17-$B$7)))</x:f>
        <x:v>0.000335376848178869</x:v>
      </x:c>
      <x:c r="F17" s="30" t="n">
        <x:f>1/(1+EXP(-'Hail_Site_Inputs'!$B$20*(A17-'Hail_Site_Inputs'!$B$19)))</x:f>
        <x:v>0.0003656873918796337</x:v>
      </x:c>
      <x:c r="G17" s="30" t="n">
        <x:f>'Hail_Site_Inputs'!$B$18/(1+EXP(-'Hail_Site_Inputs'!$B$20*(A17-('Hail_Site_Inputs'!$B$19+'Hail_Site_Inputs'!$B$17))))</x:f>
        <x:v>0.00008730333256445133</x:v>
      </x:c>
      <x:c r="H17" s="30" t="n">
        <x:f>IF('Hail_Site_Inputs'!$B$15="Unstowed",F17,IF('Hail_Site_Inputs'!$B$15="Stowed",G17,'Hail_Site_Inputs'!$B$16*G17+(1-'Hail_Site_Inputs'!$B$16)*F17))</x:f>
        <x:v>0.00019865695629052427</x:v>
      </x:c>
      <x:c r="I17" s="30" t="n">
        <x:f>H17*'Hail_Site_Inputs'!$B$11*'Hail_Site_Inputs'!$B$12*'Hail_Site_Inputs'!$B$13*'Hail_Site_Inputs'!$B$10/'Hail_Site_Inputs'!$B$9</x:f>
        <x:v>0.0000413227542954662</x:v>
      </x:c>
      <x:c r="J17" s="28" t="n">
        <x:f>H17*'Hail_Site_Inputs'!$B$21</x:f>
        <x:v>4628.148481092214</x:v>
      </x:c>
    </x:row>
    <x:row r="18">
      <x:c r="A18" t="n">
        <x:v>10</x:v>
      </x:c>
      <x:c r="B18" s="84" t="n">
        <x:f>A18/25.4</x:f>
        <x:v>0.3937007874015748</x:v>
      </x:c>
      <x:c r="C18" s="30" t="n">
        <x:f>1/(1+EXP(-$C$5*(A18-$B$5)))</x:f>
        <x:v>0.0010520975720447938</x:v>
      </x:c>
      <x:c r="D18" s="30" t="n">
        <x:f>1/(1+EXP(-$C$6*(A18-$B$6)))</x:f>
        <x:v>0.0008378741441447493</x:v>
      </x:c>
      <x:c r="E18" s="30" t="n">
        <x:f>1/(1+EXP(-$C$7*(A18-$B$7)))</x:f>
        <x:v>0.0006595675134952417</x:v>
      </x:c>
      <x:c r="F18" s="30" t="n">
        <x:f>1/(1+EXP(-'Hail_Site_Inputs'!$B$20*(A18-'Hail_Site_Inputs'!$B$19)))</x:f>
        <x:v>0.0008378741441447493</x:v>
      </x:c>
      <x:c r="G18" s="30" t="n">
        <x:f>'Hail_Site_Inputs'!$B$18/(1+EXP(-'Hail_Site_Inputs'!$B$20*(A18-('Hail_Site_Inputs'!$B$19+'Hail_Site_Inputs'!$B$17))))</x:f>
        <x:v>0.00020010151462709997</x:v>
      </x:c>
      <x:c r="H18" s="30" t="n">
        <x:f>IF('Hail_Site_Inputs'!$B$15="Unstowed",F18,IF('Hail_Site_Inputs'!$B$15="Stowed",G18,'Hail_Site_Inputs'!$B$16*G18+(1-'Hail_Site_Inputs'!$B$16)*F18))</x:f>
        <x:v>0.0004552105664341597</x:v>
      </x:c>
      <x:c r="I18" s="30" t="n">
        <x:f>H18*'Hail_Site_Inputs'!$B$11*'Hail_Site_Inputs'!$B$12*'Hail_Site_Inputs'!$B$13*'Hail_Site_Inputs'!$B$10/'Hail_Site_Inputs'!$B$9</x:f>
        <x:v>0.00009468862677000562</x:v>
      </x:c>
      <x:c r="J18" s="28" t="n">
        <x:f>H18*'Hail_Site_Inputs'!$B$21</x:f>
        <x:v>10605.12619824063</x:v>
      </x:c>
    </x:row>
    <x:row r="19">
      <x:c r="A19" t="n">
        <x:v>15</x:v>
      </x:c>
      <x:c r="B19" s="84" t="n">
        <x:f>A19/25.4</x:f>
        <x:v>0.5905511811023623</x:v>
      </x:c>
      <x:c r="C19" s="30" t="n">
        <x:f>1/(1+EXP(-$C$5*(A19-$B$5)))</x:f>
        <x:v>0.00316399289314742</x:v>
      </x:c>
      <x:c r="D19" s="30" t="n">
        <x:f>1/(1+EXP(-$C$6*(A19-$B$6)))</x:f>
        <x:v>0.0019185926845235667</x:v>
      </x:c>
      <x:c r="E19" s="30" t="n">
        <x:f>1/(1+EXP(-$C$7*(A19-$B$7)))</x:f>
        <x:v>0.0012967292637721109</x:v>
      </x:c>
      <x:c r="F19" s="30" t="n">
        <x:f>1/(1+EXP(-'Hail_Site_Inputs'!$B$20*(A19-'Hail_Site_Inputs'!$B$19)))</x:f>
        <x:v>0.0019185926845235667</x:v>
      </x:c>
      <x:c r="G19" s="30" t="n">
        <x:f>'Hail_Site_Inputs'!$B$18/(1+EXP(-'Hail_Site_Inputs'!$B$20*(A19-('Hail_Site_Inputs'!$B$19+'Hail_Site_Inputs'!$B$17))))</x:f>
        <x:v>0.0004585636260498335</x:v>
      </x:c>
      <x:c r="H19" s="30" t="n">
        <x:f>IF('Hail_Site_Inputs'!$B$15="Unstowed",F19,IF('Hail_Site_Inputs'!$B$15="Stowed",G19,'Hail_Site_Inputs'!$B$16*G19+(1-'Hail_Site_Inputs'!$B$16)*F19))</x:f>
        <x:v>0.0010425752494393268</x:v>
      </x:c>
      <x:c r="I19" s="30" t="n">
        <x:f>H19*'Hail_Site_Inputs'!$B$11*'Hail_Site_Inputs'!$B$12*'Hail_Site_Inputs'!$B$13*'Hail_Site_Inputs'!$B$10/'Hail_Site_Inputs'!$B$9</x:f>
        <x:v>0.00021686671170029727</x:v>
      </x:c>
      <x:c r="J19" s="28" t="n">
        <x:f>H19*'Hail_Site_Inputs'!$B$21</x:f>
        <x:v>24289.071710433294</x:v>
      </x:c>
    </x:row>
    <x:row r="20">
      <x:c r="A20" t="n">
        <x:v>20</x:v>
      </x:c>
      <x:c r="B20" s="84" t="n">
        <x:f>A20/25.4</x:f>
        <x:v>0.7874015748031497</x:v>
      </x:c>
      <x:c r="C20" s="30" t="n">
        <x:f>1/(1+EXP(-$C$5*(A20-$B$5)))</x:f>
        <x:v>0.009474926705559982</x:v>
      </x:c>
      <x:c r="D20" s="30" t="n">
        <x:f>1/(1+EXP(-$C$6*(A20-$B$6)))</x:f>
        <x:v>0.004387138150406361</x:v>
      </x:c>
      <x:c r="E20" s="30" t="n">
        <x:f>1/(1+EXP(-$C$7*(A20-$B$7)))</x:f>
        <x:v>0.0025478388600612733</x:v>
      </x:c>
      <x:c r="F20" s="30" t="n">
        <x:f>1/(1+EXP(-'Hail_Site_Inputs'!$B$20*(A20-'Hail_Site_Inputs'!$B$19)))</x:f>
        <x:v>0.004387138150406361</x:v>
      </x:c>
      <x:c r="G20" s="30" t="n">
        <x:f>'Hail_Site_Inputs'!$B$18/(1+EXP(-'Hail_Site_Inputs'!$B$20*(A20-('Hail_Site_Inputs'!$B$19+'Hail_Site_Inputs'!$B$17))))</x:f>
        <x:v>0.0010504798533409686</x:v>
      </x:c>
      <x:c r="H20" s="30" t="n">
        <x:f>IF('Hail_Site_Inputs'!$B$15="Unstowed",F20,IF('Hail_Site_Inputs'!$B$15="Stowed",G20,'Hail_Site_Inputs'!$B$16*G20+(1-'Hail_Site_Inputs'!$B$16)*F20))</x:f>
        <x:v>0.0023851431721671253</x:v>
      </x:c>
      <x:c r="I20" s="30" t="n">
        <x:f>H20*'Hail_Site_Inputs'!$B$11*'Hail_Site_Inputs'!$B$12*'Hail_Site_Inputs'!$B$13*'Hail_Site_Inputs'!$B$10/'Hail_Site_Inputs'!$B$9</x:f>
        <x:v>0.0004961350818182861</x:v>
      </x:c>
      <x:c r="J20" s="28" t="n">
        <x:f>H20*'Hail_Site_Inputs'!$B$21</x:f>
        <x:v>55567.129163648046</x:v>
      </x:c>
    </x:row>
    <x:row r="21">
      <x:c r="A21" t="n">
        <x:v>25</x:v>
      </x:c>
      <x:c r="B21" s="84" t="n">
        <x:f>A21/25.4</x:f>
        <x:v>0.984251968503937</x:v>
      </x:c>
      <x:c r="C21" s="30" t="n">
        <x:f>1/(1+EXP(-$C$5*(A21-$B$5)))</x:f>
        <x:v>0.028019886297720568</x:v>
      </x:c>
      <x:c r="D21" s="30" t="n">
        <x:f>1/(1+EXP(-$C$6*(A21-$B$6)))</x:f>
        <x:v>0.010000000000000028</x:v>
      </x:c>
      <x:c r="E21" s="30" t="n">
        <x:f>1/(1+EXP(-$C$7*(A21-$B$7)))</x:f>
        <x:v>0.005000000000000014</x:v>
      </x:c>
      <x:c r="F21" s="30" t="n">
        <x:f>1/(1+EXP(-'Hail_Site_Inputs'!$B$20*(A21-'Hail_Site_Inputs'!$B$19)))</x:f>
        <x:v>0.010000000000000028</x:v>
      </x:c>
      <x:c r="G21" s="30" t="n">
        <x:f>'Hail_Site_Inputs'!$B$18/(1+EXP(-'Hail_Site_Inputs'!$B$20*(A21-('Hail_Site_Inputs'!$B$19+'Hail_Site_Inputs'!$B$17))))</x:f>
        <x:v>0.0024044022737841767</x:v>
      </x:c>
      <x:c r="H21" s="30" t="n">
        <x:f>IF('Hail_Site_Inputs'!$B$15="Unstowed",F21,IF('Hail_Site_Inputs'!$B$15="Stowed",G21,'Hail_Site_Inputs'!$B$16*G21+(1-'Hail_Site_Inputs'!$B$16)*F21))</x:f>
        <x:v>0.005442641364270517</x:v>
      </x:c>
      <x:c r="I21" s="30" t="n">
        <x:f>H21*'Hail_Site_Inputs'!$B$11*'Hail_Site_Inputs'!$B$12*'Hail_Site_Inputs'!$B$13*'Hail_Site_Inputs'!$B$10/'Hail_Site_Inputs'!$B$9</x:f>
        <x:v>0.0011321271402405918</x:v>
      </x:c>
      <x:c r="J21" s="28" t="n">
        <x:f>H21*'Hail_Site_Inputs'!$B$21</x:f>
        <x:v>126798.23970694629</x:v>
      </x:c>
    </x:row>
    <x:row r="22">
      <x:c r="A22" t="n">
        <x:v>30</x:v>
      </x:c>
      <x:c r="B22" s="84" t="n">
        <x:f>A22/25.4</x:f>
        <x:v>1.1811023622047245</x:v>
      </x:c>
      <x:c r="C22" s="30" t="n">
        <x:f>1/(1+EXP(-$C$5*(A22-$B$5)))</x:f>
        <x:v>0.0799331580994263</x:v>
      </x:c>
      <x:c r="D22" s="30" t="n">
        <x:f>1/(1+EXP(-$C$6*(A22-$B$6)))</x:f>
        <x:v>0.02263067476729788</x:v>
      </x:c>
      <x:c r="E22" s="30" t="n">
        <x:f>1/(1+EXP(-$C$7*(A22-$B$7)))</x:f>
        <x:v>0.009789075518707436</x:v>
      </x:c>
      <x:c r="F22" s="30" t="n">
        <x:f>1/(1+EXP(-'Hail_Site_Inputs'!$B$20*(A22-'Hail_Site_Inputs'!$B$19)))</x:f>
        <x:v>0.02263067476729788</x:v>
      </x:c>
      <x:c r="G22" s="30" t="n">
        <x:f>'Hail_Site_Inputs'!$B$18/(1+EXP(-'Hail_Site_Inputs'!$B$20*(A22-('Hail_Site_Inputs'!$B$19+'Hail_Site_Inputs'!$B$17))))</x:f>
        <x:v>0.005492680128678025</x:v>
      </x:c>
      <x:c r="H22" s="30" t="n">
        <x:f>IF('Hail_Site_Inputs'!$B$15="Unstowed",F22,IF('Hail_Site_Inputs'!$B$15="Stowed",G22,'Hail_Site_Inputs'!$B$16*G22+(1-'Hail_Site_Inputs'!$B$16)*F22))</x:f>
        <x:v>0.012347877984125967</x:v>
      </x:c>
      <x:c r="I22" s="30" t="n">
        <x:f>H22*'Hail_Site_Inputs'!$B$11*'Hail_Site_Inputs'!$B$12*'Hail_Site_Inputs'!$B$13*'Hail_Site_Inputs'!$B$10/'Hail_Site_Inputs'!$B$9</x:f>
        <x:v>0.002568489609103973</x:v>
      </x:c>
      <x:c r="J22" s="28" t="n">
        <x:f>H22*'Hail_Site_Inputs'!$B$21</x:f>
        <x:v>287670.836219645</x:v>
      </x:c>
    </x:row>
    <x:row r="23">
      <x:c r="A23" t="n">
        <x:v>35</x:v>
      </x:c>
      <x:c r="B23" s="84" t="n">
        <x:f>A23/25.4</x:f>
        <x:v>1.3779527559055118</x:v>
      </x:c>
      <x:c r="C23" s="30" t="n">
        <x:f>1/(1+EXP(-$C$5*(A23-$B$5)))</x:f>
        <x:v>0.20749521608119276</x:v>
      </x:c>
      <x:c r="D23" s="30" t="n">
        <x:f>1/(1+EXP(-$C$6*(A23-$B$6)))</x:f>
        <x:v>0.05040253045391812</x:v>
      </x:c>
      <x:c r="E23" s="30" t="n">
        <x:f>1/(1+EXP(-$C$7*(A23-$B$7)))</x:f>
        <x:v>0.01907725187549938</x:v>
      </x:c>
      <x:c r="F23" s="30" t="n">
        <x:f>1/(1+EXP(-'Hail_Site_Inputs'!$B$20*(A23-'Hail_Site_Inputs'!$B$19)))</x:f>
        <x:v>0.05040253045391812</x:v>
      </x:c>
      <x:c r="G23" s="30" t="n">
        <x:f>'Hail_Site_Inputs'!$B$18/(1+EXP(-'Hail_Site_Inputs'!$B$20*(A23-('Hail_Site_Inputs'!$B$19+'Hail_Site_Inputs'!$B$17))))</x:f>
        <x:v>0.012492417070752396</x:v>
      </x:c>
      <x:c r="H23" s="30" t="n">
        <x:f>IF('Hail_Site_Inputs'!$B$15="Unstowed",F23,IF('Hail_Site_Inputs'!$B$15="Stowed",G23,'Hail_Site_Inputs'!$B$16*G23+(1-'Hail_Site_Inputs'!$B$16)*F23))</x:f>
        <x:v>0.027656462424018688</x:v>
      </x:c>
      <x:c r="I23" s="30" t="n">
        <x:f>H23*'Hail_Site_Inputs'!$B$11*'Hail_Site_Inputs'!$B$12*'Hail_Site_Inputs'!$B$13*'Hail_Site_Inputs'!$B$10/'Hail_Site_Inputs'!$B$9</x:f>
        <x:v>0.0057528375686889035</x:v>
      </x:c>
      <x:c r="J23" s="28" t="n">
        <x:f>H23*'Hail_Site_Inputs'!$B$21</x:f>
        <x:v>644317.8076931573</x:v>
      </x:c>
    </x:row>
    <x:row r="24">
      <x:c r="A24" t="n">
        <x:v>40</x:v>
      </x:c>
      <x:c r="B24" s="84" t="n">
        <x:f>A24/25.4</x:f>
        <x:v>1.5748031496062993</x:v>
      </x:c>
      <x:c r="C24" s="30" t="n">
        <x:f>1/(1+EXP(-$C$5*(A24-$B$5)))</x:f>
        <x:v>0.44104428563083103</x:v>
      </x:c>
      <x:c r="D24" s="30" t="n">
        <x:f>1/(1+EXP(-$C$6*(A24-$B$6)))</x:f>
        <x:v>0.10847291856463541</x:v>
      </x:c>
      <x:c r="E24" s="30" t="n">
        <x:f>1/(1+EXP(-$C$7*(A24-$B$7)))</x:f>
        <x:v>0.036850366635562154</x:v>
      </x:c>
      <x:c r="F24" s="30" t="n">
        <x:f>1/(1+EXP(-'Hail_Site_Inputs'!$B$20*(A24-'Hail_Site_Inputs'!$B$19)))</x:f>
        <x:v>0.10847291856463541</x:v>
      </x:c>
      <x:c r="G24" s="30" t="n">
        <x:f>'Hail_Site_Inputs'!$B$18/(1+EXP(-'Hail_Site_Inputs'!$B$20*(A24-('Hail_Site_Inputs'!$B$19+'Hail_Site_Inputs'!$B$17))))</x:f>
        <x:v>0.02813190746944255</x:v>
      </x:c>
      <x:c r="H24" s="30" t="n">
        <x:f>IF('Hail_Site_Inputs'!$B$15="Unstowed",F24,IF('Hail_Site_Inputs'!$B$15="Stowed",G24,'Hail_Site_Inputs'!$B$16*G24+(1-'Hail_Site_Inputs'!$B$16)*F24))</x:f>
        <x:v>0.06026831190751969</x:v>
      </x:c>
      <x:c r="I24" s="30" t="n">
        <x:f>H24*'Hail_Site_Inputs'!$B$11*'Hail_Site_Inputs'!$B$12*'Hail_Site_Inputs'!$B$13*'Hail_Site_Inputs'!$B$10/'Hail_Site_Inputs'!$B$9</x:f>
        <x:v>0.012536448213345285</x:v>
      </x:c>
      <x:c r="J24" s="28" t="n">
        <x:f>H24*'Hail_Site_Inputs'!$B$21</x:f>
        <x:v>1404082.199894672</x:v>
      </x:c>
    </x:row>
    <x:row r="25">
      <x:c r="A25" t="n">
        <x:v>45</x:v>
      </x:c>
      <x:c r="B25" s="84" t="n">
        <x:f>A25/25.4</x:f>
        <x:v>1.7716535433070868</x:v>
      </x:c>
      <x:c r="C25" s="30" t="n">
        <x:f>1/(1+EXP(-$C$5*(A25-$B$5)))</x:f>
        <x:v>0.7039627905481787</x:v>
      </x:c>
      <x:c r="D25" s="30" t="n">
        <x:f>1/(1+EXP(-$C$6*(A25-$B$6)))</x:f>
        <x:v>0.21808285131604127</x:v>
      </x:c>
      <x:c r="E25" s="30" t="n">
        <x:f>1/(1+EXP(-$C$7*(A25-$B$7)))</x:f>
        <x:v>0.07000000000000005</x:v>
      </x:c>
      <x:c r="F25" s="30" t="n">
        <x:f>1/(1+EXP(-'Hail_Site_Inputs'!$B$20*(A25-'Hail_Site_Inputs'!$B$19)))</x:f>
        <x:v>0.21808285131604127</x:v>
      </x:c>
      <x:c r="G25" s="30" t="n">
        <x:f>'Hail_Site_Inputs'!$B$18/(1+EXP(-'Hail_Site_Inputs'!$B$20*(A25-('Hail_Site_Inputs'!$B$19+'Hail_Site_Inputs'!$B$17))))</x:f>
        <x:v>0.06198334894361754</x:v>
      </x:c>
      <x:c r="H25" s="30" t="n">
        <x:f>IF('Hail_Site_Inputs'!$B$15="Unstowed",F25,IF('Hail_Site_Inputs'!$B$15="Stowed",G25,'Hail_Site_Inputs'!$B$16*G25+(1-'Hail_Site_Inputs'!$B$16)*F25))</x:f>
        <x:v>0.12442314989258703</x:v>
      </x:c>
      <x:c r="I25" s="30" t="n">
        <x:f>H25*'Hail_Site_Inputs'!$B$11*'Hail_Site_Inputs'!$B$12*'Hail_Site_Inputs'!$B$13*'Hail_Site_Inputs'!$B$10/'Hail_Site_Inputs'!$B$9</x:f>
        <x:v>0.025881335079755163</x:v>
      </x:c>
      <x:c r="J25" s="28" t="n">
        <x:f>H25*'Hail_Site_Inputs'!$B$21</x:f>
        <x:v>2898709.528932579</x:v>
      </x:c>
    </x:row>
    <x:row r="26">
      <x:c r="A26" t="n">
        <x:v>50</x:v>
      </x:c>
      <x:c r="B26" s="84" t="n">
        <x:f>A26/25.4</x:f>
        <x:v>1.968503937007874</x:v>
      </x:c>
      <x:c r="C26" s="30" t="n">
        <x:f>1/(1+EXP(-$C$5*(A26-$B$5)))</x:f>
        <x:v>0.8775472596460155</x:v>
      </x:c>
      <x:c r="D26" s="30" t="n">
        <x:f>1/(1+EXP(-$C$6*(A26-$B$6)))</x:f>
        <x:v>0.39</x:v>
      </x:c>
      <x:c r="E26" s="30" t="n">
        <x:f>1/(1+EXP(-$C$7*(A26-$B$7)))</x:f>
        <x:v>0.12897686688613344</x:v>
      </x:c>
      <x:c r="F26" s="30" t="n">
        <x:f>1/(1+EXP(-'Hail_Site_Inputs'!$B$20*(A26-'Hail_Site_Inputs'!$B$19)))</x:f>
        <x:v>0.39</x:v>
      </x:c>
      <x:c r="G26" s="30" t="n">
        <x:f>'Hail_Site_Inputs'!$B$18/(1+EXP(-'Hail_Site_Inputs'!$B$20*(A26-('Hail_Site_Inputs'!$B$19+'Hail_Site_Inputs'!$B$17))))</x:f>
        <x:v>0.13047289639190182</x:v>
      </x:c>
      <x:c r="H26" s="30" t="n">
        <x:f>IF('Hail_Site_Inputs'!$B$15="Unstowed",F26,IF('Hail_Site_Inputs'!$B$15="Stowed",G26,'Hail_Site_Inputs'!$B$16*G26+(1-'Hail_Site_Inputs'!$B$16)*F26))</x:f>
        <x:v>0.23428373783514111</x:v>
      </x:c>
      <x:c r="I26" s="30" t="n">
        <x:f>H26*'Hail_Site_Inputs'!$B$11*'Hail_Site_Inputs'!$B$12*'Hail_Site_Inputs'!$B$13*'Hail_Site_Inputs'!$B$10/'Hail_Site_Inputs'!$B$9</x:f>
        <x:v>0.04873350279175065</x:v>
      </x:c>
      <x:c r="J26" s="28" t="n">
        <x:f>H26*'Hail_Site_Inputs'!$B$21</x:f>
        <x:v>5458152.312676074</x:v>
      </x:c>
    </x:row>
    <x:row r="27">
      <x:c r="A27" t="n">
        <x:v>55</x:v>
      </x:c>
      <x:c r="B27" s="84" t="n">
        <x:f>A27/25.4</x:f>
        <x:v>2.1653543307086616</x:v>
      </x:c>
      <x:c r="C27" s="30" t="n">
        <x:f>1/(1+EXP(-$C$5*(A27-$B$5)))</x:f>
        <x:v>0.9557470373347705</x:v>
      </x:c>
      <x:c r="D27" s="30" t="n">
        <x:f>1/(1+EXP(-$C$6*(A27-$B$6)))</x:f>
        <x:v>0.5944154940093985</x:v>
      </x:c>
      <x:c r="E27" s="30" t="n">
        <x:f>1/(1+EXP(-$C$7*(A27-$B$7)))</x:f>
        <x:v>0.22559011406408977</x:v>
      </x:c>
      <x:c r="F27" s="30" t="n">
        <x:f>1/(1+EXP(-'Hail_Site_Inputs'!$B$20*(A27-'Hail_Site_Inputs'!$B$19)))</x:f>
        <x:v>0.5944154940093985</x:v>
      </x:c>
      <x:c r="G27" s="30" t="n">
        <x:f>'Hail_Site_Inputs'!$B$18/(1+EXP(-'Hail_Site_Inputs'!$B$20*(A27-('Hail_Site_Inputs'!$B$19+'Hail_Site_Inputs'!$B$17))))</x:f>
        <x:v>0.2518934132342453</x:v>
      </x:c>
      <x:c r="H27" s="30" t="n">
        <x:f>IF('Hail_Site_Inputs'!$B$15="Unstowed",F27,IF('Hail_Site_Inputs'!$B$15="Stowed",G27,'Hail_Site_Inputs'!$B$16*G27+(1-'Hail_Site_Inputs'!$B$16)*F27))</x:f>
        <x:v>0.3889022455443066</x:v>
      </x:c>
      <x:c r="I27" s="30" t="n">
        <x:f>H27*'Hail_Site_Inputs'!$B$11*'Hail_Site_Inputs'!$B$12*'Hail_Site_Inputs'!$B$13*'Hail_Site_Inputs'!$B$10/'Hail_Site_Inputs'!$B$9</x:f>
        <x:v>0.08089579261488457</x:v>
      </x:c>
      <x:c r="J27" s="28" t="n">
        <x:f>H27*'Hail_Site_Inputs'!$B$21</x:f>
        <x:v>9060328.772867074</x:v>
      </x:c>
    </x:row>
    <x:row r="28">
      <x:c r="A28" t="n">
        <x:v>60</x:v>
      </x:c>
      <x:c r="B28" s="84" t="n">
        <x:f>A28/25.4</x:f>
        <x:v>2.362204724409449</x:v>
      </x:c>
      <x:c r="C28" s="30" t="n">
        <x:f>1/(1+EXP(-$C$5*(A28-$B$5)))</x:f>
        <x:v>0.9848686011388115</x:v>
      </x:c>
      <x:c r="D28" s="30" t="n">
        <x:f>1/(1+EXP(-$C$6*(A28-$B$6)))</x:f>
        <x:v>0.7706191985599966</x:v>
      </x:c>
      <x:c r="E28" s="30" t="n">
        <x:f>1/(1+EXP(-$C$7*(A28-$B$7)))</x:f>
        <x:v>0.36430493656044316</x:v>
      </x:c>
      <x:c r="F28" s="30" t="n">
        <x:f>1/(1+EXP(-'Hail_Site_Inputs'!$B$20*(A28-'Hail_Site_Inputs'!$B$19)))</x:f>
        <x:v>0.7706191985599966</x:v>
      </x:c>
      <x:c r="G28" s="30" t="n">
        <x:f>'Hail_Site_Inputs'!$B$18/(1+EXP(-'Hail_Site_Inputs'!$B$20*(A28-('Hail_Site_Inputs'!$B$19+'Hail_Site_Inputs'!$B$17))))</x:f>
        <x:v>0.42404413053113504</x:v>
      </x:c>
      <x:c r="H28" s="30" t="n">
        <x:f>IF('Hail_Site_Inputs'!$B$15="Unstowed",F28,IF('Hail_Site_Inputs'!$B$15="Stowed",G28,'Hail_Site_Inputs'!$B$16*G28+(1-'Hail_Site_Inputs'!$B$16)*F28))</x:f>
        <x:v>0.5626741577426797</x:v>
      </x:c>
      <x:c r="I28" s="30" t="n">
        <x:f>H28*'Hail_Site_Inputs'!$B$11*'Hail_Site_Inputs'!$B$12*'Hail_Site_Inputs'!$B$13*'Hail_Site_Inputs'!$B$10/'Hail_Site_Inputs'!$B$9</x:f>
        <x:v>0.11704219375437093</x:v>
      </x:c>
      <x:c r="J28" s="28" t="n">
        <x:f>H28*'Hail_Site_Inputs'!$B$21</x:f>
        <x:v>13108725.700489545</x:v>
      </x:c>
    </x:row>
    <x:row r="29">
      <x:c r="A29" t="n">
        <x:v>65</x:v>
      </x:c>
      <x:c r="B29" s="84" t="n">
        <x:f>A29/25.4</x:f>
        <x:v>2.5590551181102366</x:v>
      </x:c>
      <x:c r="C29" s="30" t="n">
        <x:f>1/(1+EXP(-$C$5*(A29-$B$5)))</x:f>
        <x:v>0.994927830438752</x:v>
      </x:c>
      <x:c r="D29" s="30" t="n">
        <x:f>1/(1+EXP(-$C$6*(A29-$B$6)))</x:f>
        <x:v>0.8850729367231496</x:v>
      </x:c>
      <x:c r="E29" s="30" t="n">
        <x:f>1/(1+EXP(-$C$7*(A29-$B$7)))</x:f>
        <x:v>0.5299456521739128</x:v>
      </x:c>
      <x:c r="F29" s="30" t="n">
        <x:f>1/(1+EXP(-'Hail_Site_Inputs'!$B$20*(A29-'Hail_Site_Inputs'!$B$19)))</x:f>
        <x:v>0.8850729367231496</x:v>
      </x:c>
      <x:c r="G29" s="30" t="n">
        <x:f>'Hail_Site_Inputs'!$B$18/(1+EXP(-'Hail_Site_Inputs'!$B$20*(A29-('Hail_Site_Inputs'!$B$19+'Hail_Site_Inputs'!$B$17))))</x:f>
        <x:v>0.6041706491264874</x:v>
      </x:c>
      <x:c r="H29" s="30" t="n">
        <x:f>IF('Hail_Site_Inputs'!$B$15="Unstowed",F29,IF('Hail_Site_Inputs'!$B$15="Stowed",G29,'Hail_Site_Inputs'!$B$16*G29+(1-'Hail_Site_Inputs'!$B$16)*F29))</x:f>
        <x:v>0.7165315641651524</x:v>
      </x:c>
      <x:c r="I29" s="30" t="n">
        <x:f>H29*'Hail_Site_Inputs'!$B$11*'Hail_Site_Inputs'!$B$12*'Hail_Site_Inputs'!$B$13*'Hail_Site_Inputs'!$B$10/'Hail_Site_Inputs'!$B$9</x:f>
        <x:v>0.14904616643597987</x:v>
      </x:c>
      <x:c r="J29" s="28" t="n">
        <x:f>H29*'Hail_Site_Inputs'!$B$21</x:f>
        <x:v>16693170.640829748</x:v>
      </x:c>
    </x:row>
    <x:row r="30">
      <x:c r="A30" t="n">
        <x:v>70</x:v>
      </x:c>
      <x:c r="B30" s="84" t="n">
        <x:f>A30/25.4</x:f>
        <x:v>2.7559055118110236</x:v>
      </x:c>
      <x:c r="C30" s="30" t="n">
        <x:f>1/(1+EXP(-$C$5*(A30-$B$5)))</x:f>
        <x:v>0.9983112337577472</x:v>
      </x:c>
      <x:c r="D30" s="30" t="n">
        <x:f>1/(1+EXP(-$C$6*(A30-$B$6)))</x:f>
        <x:v>0.9463907488182206</x:v>
      </x:c>
      <x:c r="E30" s="30" t="n">
        <x:f>1/(1+EXP(-$C$7*(A30-$B$7)))</x:f>
        <x:v>0.6892424364912862</x:v>
      </x:c>
      <x:c r="F30" s="30" t="n">
        <x:f>1/(1+EXP(-'Hail_Site_Inputs'!$B$20*(A30-'Hail_Site_Inputs'!$B$19)))</x:f>
        <x:v>0.9463907488182206</x:v>
      </x:c>
      <x:c r="G30" s="30" t="n">
        <x:f>'Hail_Site_Inputs'!$B$18/(1+EXP(-'Hail_Site_Inputs'!$B$20*(A30-('Hail_Site_Inputs'!$B$19+'Hail_Site_Inputs'!$B$17))))</x:f>
        <x:v>0.741593331604856</x:v>
      </x:c>
      <x:c r="H30" s="30" t="n">
        <x:f>IF('Hail_Site_Inputs'!$B$15="Unstowed",F30,IF('Hail_Site_Inputs'!$B$15="Stowed",G30,'Hail_Site_Inputs'!$B$16*G30+(1-'Hail_Site_Inputs'!$B$16)*F30))</x:f>
        <x:v>0.8235122984902018</x:v>
      </x:c>
      <x:c r="I30" s="30" t="n">
        <x:f>H30*'Hail_Site_Inputs'!$B$11*'Hail_Site_Inputs'!$B$12*'Hail_Site_Inputs'!$B$13*'Hail_Site_Inputs'!$B$10/'Hail_Site_Inputs'!$B$9</x:f>
        <x:v>0.17129929404555366</x:v>
      </x:c>
      <x:c r="J30" s="28" t="n">
        <x:f>H30*'Hail_Site_Inputs'!$B$21</x:f>
        <x:v>19185520.933102015</x:v>
      </x:c>
    </x:row>
    <x:row r="31">
      <x:c r="A31" t="n">
        <x:v>75</x:v>
      </x:c>
      <x:c r="B31" s="84" t="n">
        <x:f>A31/25.4</x:f>
        <x:v>2.952755905511811</x:v>
      </x:c>
      <x:c r="C31" s="30" t="n">
        <x:f>1/(1+EXP(-$C$5*(A31-$B$5)))</x:f>
        <x:v>0.9994390020544067</x:v>
      </x:c>
      <x:c r="D31" s="30" t="n">
        <x:f>1/(1+EXP(-$C$6*(A31-$B$6)))</x:f>
        <x:v>0.9758846403110824</x:v>
      </x:c>
      <x:c r="E31" s="30" t="n">
        <x:f>1/(1+EXP(-$C$7*(A31-$B$7)))</x:f>
        <x:v>0.8135484218315793</x:v>
      </x:c>
      <x:c r="F31" s="30" t="n">
        <x:f>1/(1+EXP(-'Hail_Site_Inputs'!$B$20*(A31-'Hail_Site_Inputs'!$B$19)))</x:f>
        <x:v>0.9758846403110824</x:v>
      </x:c>
      <x:c r="G31" s="30" t="n">
        <x:f>'Hail_Site_Inputs'!$B$18/(1+EXP(-'Hail_Site_Inputs'!$B$20*(A31-('Hail_Site_Inputs'!$B$19+'Hail_Site_Inputs'!$B$17))))</x:f>
        <x:v>0.823284424092372</x:v>
      </x:c>
      <x:c r="H31" s="30" t="n">
        <x:f>IF('Hail_Site_Inputs'!$B$15="Unstowed",F31,IF('Hail_Site_Inputs'!$B$15="Stowed",G31,'Hail_Site_Inputs'!$B$16*G31+(1-'Hail_Site_Inputs'!$B$16)*F31))</x:f>
        <x:v>0.8843245105798562</x:v>
      </x:c>
      <x:c r="I31" s="30" t="n">
        <x:f>H31*'Hail_Site_Inputs'!$B$11*'Hail_Site_Inputs'!$B$12*'Hail_Site_Inputs'!$B$13*'Hail_Site_Inputs'!$B$10/'Hail_Site_Inputs'!$B$9</x:f>
        <x:v>0.18394887926656936</x:v>
      </x:c>
      <x:c r="J31" s="28" t="n">
        <x:f>H31*'Hail_Site_Inputs'!$B$21</x:f>
        <x:v>20602274.477855768</x:v>
      </x:c>
    </x:row>
    <x:row r="32">
      <x:c r="A32" t="n">
        <x:v>80</x:v>
      </x:c>
      <x:c r="B32" s="84" t="n">
        <x:f>A32/25.4</x:f>
        <x:v>3.1496062992125986</x:v>
      </x:c>
      <x:c r="C32" s="30" t="n">
        <x:f>1/(1+EXP(-$C$5*(A32-$B$5)))</x:f>
        <x:v>0.9998137803558161</x:v>
      </x:c>
      <x:c r="D32" s="30" t="n">
        <x:f>1/(1+EXP(-$C$6*(A32-$B$6)))</x:f>
        <x:v>0.989334908120679</x:v>
      </x:c>
      <x:c r="E32" s="30" t="n">
        <x:f>1/(1+EXP(-$C$7*(A32-$B$7)))</x:f>
        <x:v>0.8956582867965325</x:v>
      </x:c>
      <x:c r="F32" s="30" t="n">
        <x:f>1/(1+EXP(-'Hail_Site_Inputs'!$B$20*(A32-'Hail_Site_Inputs'!$B$19)))</x:f>
        <x:v>0.989334908120679</x:v>
      </x:c>
      <x:c r="G32" s="30" t="n">
        <x:f>'Hail_Site_Inputs'!$B$18/(1+EXP(-'Hail_Site_Inputs'!$B$20*(A32-('Hail_Site_Inputs'!$B$19+'Hail_Site_Inputs'!$B$17))))</x:f>
        <x:v>0.8648441572600246</x:v>
      </x:c>
      <x:c r="H32" s="30" t="n">
        <x:f>IF('Hail_Site_Inputs'!$B$15="Unstowed",F32,IF('Hail_Site_Inputs'!$B$15="Stowed",G32,'Hail_Site_Inputs'!$B$16*G32+(1-'Hail_Site_Inputs'!$B$16)*F32))</x:f>
        <x:v>0.9146404576042864</x:v>
      </x:c>
      <x:c r="I32" s="30" t="n">
        <x:f>H32*'Hail_Site_Inputs'!$B$11*'Hail_Site_Inputs'!$B$12*'Hail_Site_Inputs'!$B$13*'Hail_Site_Inputs'!$B$10/'Hail_Site_Inputs'!$B$9</x:f>
        <x:v>0.19025491784441223</x:v>
      </x:c>
      <x:c r="J32" s="28" t="n">
        <x:f>H32*'Hail_Site_Inputs'!$B$21</x:f>
        <x:v>21308550.798574172</x:v>
      </x:c>
    </x:row>
    <x:row r="33">
      <x:c r="A33" t="n">
        <x:v>85</x:v>
      </x:c>
      <x:c r="B33" s="84" t="n">
        <x:f>A33/25.4</x:f>
        <x:v>3.346456692913386</x:v>
      </x:c>
      <x:c r="C33" s="30" t="n">
        <x:f>1/(1+EXP(-$C$5*(A33-$B$5)))</x:f>
        <x:v>0.9999382010735004</x:v>
      </x:c>
      <x:c r="D33" s="30" t="n">
        <x:f>1/(1+EXP(-$C$6*(A33-$B$6)))</x:f>
        <x:v>0.9953193118709364</x:v>
      </x:c>
      <x:c r="E33" s="30" t="n">
        <x:f>1/(1+EXP(-$C$7*(A33-$B$7)))</x:f>
        <x:v>0.9440933449174629</x:v>
      </x:c>
      <x:c r="F33" s="30" t="n">
        <x:f>1/(1+EXP(-'Hail_Site_Inputs'!$B$20*(A33-'Hail_Site_Inputs'!$B$19)))</x:f>
        <x:v>0.9953193118709364</x:v>
      </x:c>
      <x:c r="G33" s="30" t="n">
        <x:f>'Hail_Site_Inputs'!$B$18/(1+EXP(-'Hail_Site_Inputs'!$B$20*(A33-('Hail_Site_Inputs'!$B$19+'Hail_Site_Inputs'!$B$17))))</x:f>
        <x:v>0.8843182597272451</x:v>
      </x:c>
      <x:c r="H33" s="30" t="n">
        <x:f>IF('Hail_Site_Inputs'!$B$15="Unstowed",F33,IF('Hail_Site_Inputs'!$B$15="Stowed",G33,'Hail_Site_Inputs'!$B$16*G33+(1-'Hail_Site_Inputs'!$B$16)*F33))</x:f>
        <x:v>0.9287186805847216</x:v>
      </x:c>
      <x:c r="I33" s="30" t="n">
        <x:f>H33*'Hail_Site_Inputs'!$B$11*'Hail_Site_Inputs'!$B$12*'Hail_Site_Inputs'!$B$13*'Hail_Site_Inputs'!$B$10/'Hail_Site_Inputs'!$B$9</x:f>
        <x:v>0.1931833375685448</x:v>
      </x:c>
      <x:c r="J33" s="28" t="n">
        <x:f>H33*'Hail_Site_Inputs'!$B$21</x:f>
        <x:v>21636533.80767702</x:v>
      </x:c>
    </x:row>
    <x:row r="34">
      <x:c r="A34" t="n">
        <x:v>90</x:v>
      </x:c>
      <x:c r="B34" s="84" t="n">
        <x:f>A34/25.4</x:f>
        <x:v>3.5433070866141736</x:v>
      </x:c>
      <x:c r="C34" s="30" t="n">
        <x:f>1/(1+EXP(-$C$5*(A34-$B$5)))</x:f>
        <x:v>0.9999794930883015</x:v>
      </x:c>
      <x:c r="D34" s="30" t="n">
        <x:f>1/(1+EXP(-$C$6*(A34-$B$6)))</x:f>
        <x:v>0.9979526917555898</x:v>
      </x:c>
      <x:c r="E34" s="30" t="n">
        <x:f>1/(1+EXP(-$C$7*(A34-$B$7)))</x:f>
        <x:v>0.9707785539010932</x:v>
      </x:c>
      <x:c r="F34" s="30" t="n">
        <x:f>1/(1+EXP(-'Hail_Site_Inputs'!$B$20*(A34-'Hail_Site_Inputs'!$B$19)))</x:f>
        <x:v>0.9979526917555898</x:v>
      </x:c>
      <x:c r="G34" s="30" t="n">
        <x:f>'Hail_Site_Inputs'!$B$18/(1+EXP(-'Hail_Site_Inputs'!$B$20*(A34-('Hail_Site_Inputs'!$B$19+'Hail_Site_Inputs'!$B$17))))</x:f>
        <x:v>0.8930911232770519</x:v>
      </x:c>
      <x:c r="H34" s="30" t="n">
        <x:f>IF('Hail_Site_Inputs'!$B$15="Unstowed",F34,IF('Hail_Site_Inputs'!$B$15="Stowed",G34,'Hail_Site_Inputs'!$B$16*G34+(1-'Hail_Site_Inputs'!$B$16)*F34))</x:f>
        <x:v>0.935035750668467</x:v>
      </x:c>
      <x:c r="I34" s="30" t="n">
        <x:f>H34*'Hail_Site_Inputs'!$B$11*'Hail_Site_Inputs'!$B$12*'Hail_Site_Inputs'!$B$13*'Hail_Site_Inputs'!$B$10/'Hail_Site_Inputs'!$B$9</x:f>
        <x:v>0.1944973551585259</x:v>
      </x:c>
      <x:c r="J34" s="28" t="n">
        <x:f>H34*'Hail_Site_Inputs'!$B$21</x:f>
        <x:v>21783703.7777549</x:v>
      </x:c>
    </x:row>
    <x:row r="35">
      <x:c r="A35" t="n">
        <x:v>95</x:v>
      </x:c>
      <x:c r="B35" s="84" t="n">
        <x:f>A35/25.4</x:f>
        <x:v>3.7401574803149606</x:v>
      </x:c>
      <x:c r="C35" s="30" t="n">
        <x:f>1/(1+EXP(-$C$5*(A35-$B$5)))</x:f>
        <x:v>0.9999931953215319</x:v>
      </x:c>
      <x:c r="D35" s="30" t="n">
        <x:f>1/(1+EXP(-$C$6*(A35-$B$6)))</x:f>
        <x:v>0.9991058491585353</x:v>
      </x:c>
      <x:c r="E35" s="30" t="n">
        <x:f>1/(1+EXP(-$C$7*(A35-$B$7)))</x:f>
        <x:v>0.98492977434848</x:v>
      </x:c>
      <x:c r="F35" s="30" t="n">
        <x:f>1/(1+EXP(-'Hail_Site_Inputs'!$B$20*(A35-'Hail_Site_Inputs'!$B$19)))</x:f>
        <x:v>0.9991058491585353</x:v>
      </x:c>
      <x:c r="G35" s="30" t="n">
        <x:f>'Hail_Site_Inputs'!$B$18/(1+EXP(-'Hail_Site_Inputs'!$B$20*(A35-('Hail_Site_Inputs'!$B$19+'Hail_Site_Inputs'!$B$17))))</x:f>
        <x:v>0.8969729678592995</x:v>
      </x:c>
      <x:c r="H35" s="30" t="n">
        <x:f>IF('Hail_Site_Inputs'!$B$15="Unstowed",F35,IF('Hail_Site_Inputs'!$B$15="Stowed",G35,'Hail_Site_Inputs'!$B$16*G35+(1-'Hail_Site_Inputs'!$B$16)*F35))</x:f>
        <x:v>0.9378261203789938</x:v>
      </x:c>
      <x:c r="I35" s="30" t="n">
        <x:f>H35*'Hail_Site_Inputs'!$B$11*'Hail_Site_Inputs'!$B$12*'Hail_Site_Inputs'!$B$13*'Hail_Site_Inputs'!$B$10/'Hail_Site_Inputs'!$B$9</x:f>
        <x:v>0.19507778165903555</x:v>
      </x:c>
      <x:c r="J35" s="28" t="n">
        <x:f>H35*'Hail_Site_Inputs'!$B$21</x:f>
        <x:v>21848711.54581198</x:v>
      </x:c>
    </x:row>
    <x:row r="36">
      <x:c r="A36" t="n">
        <x:v>100</x:v>
      </x:c>
      <x:c r="B36" s="84" t="n">
        <x:f>A36/25.4</x:f>
        <x:v>3.937007874015748</x:v>
      </x:c>
      <x:c r="C36" s="30" t="n">
        <x:f>1/(1+EXP(-$C$5*(A36-$B$5)))</x:f>
        <x:v>0.9999977420673675</x:v>
      </x:c>
      <x:c r="D36" s="30" t="n">
        <x:f>1/(1+EXP(-$C$6*(A36-$B$6)))</x:f>
        <x:v>0.9996097384426917</x:v>
      </x:c>
      <x:c r="E36" s="30" t="n">
        <x:f>1/(1+EXP(-$C$7*(A36-$B$7)))</x:f>
        <x:v>0.9922823917163562</x:v>
      </x:c>
      <x:c r="F36" s="30" t="n">
        <x:f>1/(1+EXP(-'Hail_Site_Inputs'!$B$20*(A36-'Hail_Site_Inputs'!$B$19)))</x:f>
        <x:v>0.9996097384426917</x:v>
      </x:c>
      <x:c r="G36" s="30" t="n">
        <x:f>'Hail_Site_Inputs'!$B$18/(1+EXP(-'Hail_Site_Inputs'!$B$20*(A36-('Hail_Site_Inputs'!$B$19+'Hail_Site_Inputs'!$B$17))))</x:f>
        <x:v>0.8986769772871513</x:v>
      </x:c>
      <x:c r="H36" s="30" t="n">
        <x:f>IF('Hail_Site_Inputs'!$B$15="Unstowed",F36,IF('Hail_Site_Inputs'!$B$15="Stowed",G36,'Hail_Site_Inputs'!$B$16*G36+(1-'Hail_Site_Inputs'!$B$16)*F36))</x:f>
        <x:v>0.9390500817493674</x:v>
      </x:c>
      <x:c r="I36" s="30" t="n">
        <x:f>H36*'Hail_Site_Inputs'!$B$11*'Hail_Site_Inputs'!$B$12*'Hail_Site_Inputs'!$B$13*'Hail_Site_Inputs'!$B$10/'Hail_Site_Inputs'!$B$9</x:f>
        <x:v>0.19533237860806524</x:v>
      </x:c>
      <x:c r="J36" s="28" t="n">
        <x:f>H36*'Hail_Site_Inputs'!$B$21</x:f>
        <x:v>21877226.404103305</x:v>
      </x:c>
    </x:row>
  </x:sheetData>
  <x:mergeCells>
    <x:mergeCell ref="A1:J1"/>
    <x:mergeCell ref="A2:J2"/>
  </x:mergeCells>
  <x:pageMargins left="0.7" right="0.7" top="0.75" bottom="0.75" header="0.3" footer="0.3"/>
  <x:tableParts count="1">
    <x:tablePart xmlns:r="http://schemas.openxmlformats.org/officeDocument/2006/relationships" r:id="R53832e6de26041c2"/>
  </x:tableParts>
</x:worksheet>
</file>

<file path=xl/worksheets/sheet28.xml><?xml version="1.0" encoding="utf-8"?>
<x:worksheet xmlns:x="http://schemas.openxmlformats.org/spreadsheetml/2006/main">
  <x:sheetFormatPr defaultRowHeight="15"/>
  <x:cols>
    <x:col min="1" max="1" width="18" hidden="0" customWidth="1"/>
    <x:col min="2" max="2" width="16" hidden="0" customWidth="1"/>
    <x:col min="3" max="3" width="20" hidden="0" customWidth="1"/>
    <x:col min="4" max="4" width="28" hidden="0" customWidth="1"/>
    <x:col min="5" max="5" width="50" hidden="0" customWidth="1"/>
  </x:cols>
  <x:sheetData>
    <x:row r="1" ht="28" customHeight="1">
      <x:c r="A1" s="106" t="str">
        <x:v>Hail × Solar v1.1 — Site Hail Frequency Input</x:v>
      </x:c>
      <x:c r="B1" s="106"/>
      <x:c r="C1" s="106"/>
      <x:c r="D1" s="106"/>
      <x:c r="E1" s="106"/>
    </x:row>
    <x:row r="2" ht="28" customHeight="1">
      <x:c r="A2" s="109" t="str">
        <x:v>Editable exceedance curve for MESH-equivalent maximum hail diameter. Defaults are illustrative placeholders; replace with a site-specific hazard provider, radar-derived, or insurer frequency curve.</x:v>
      </x:c>
      <x:c r="B2" s="109"/>
      <x:c r="C2" s="109"/>
      <x:c r="D2" s="109"/>
      <x:c r="E2" s="109"/>
    </x:row>
    <x:row r="4">
      <x:c r="A4" s="114" t="str">
        <x:v>threshold_D_mm</x:v>
      </x:c>
      <x:c r="B4" s="114" t="str">
        <x:v>threshold_D_in</x:v>
      </x:c>
      <x:c r="C4" s="114" t="str">
        <x:v>return_period_years</x:v>
      </x:c>
      <x:c r="D4" s="114" t="str">
        <x:v>annual_exceedance_probability</x:v>
      </x:c>
      <x:c r="E4" s="114" t="str">
        <x:v>source / notes</x:v>
      </x:c>
    </x:row>
    <x:row r="5">
      <x:c r="A5" t="n">
        <x:v>25</x:v>
      </x:c>
      <x:c r="B5" s="84" t="n">
        <x:f>A5/25.4</x:f>
        <x:v>0.984251968503937</x:v>
      </x:c>
      <x:c r="C5" s="83" t="n">
        <x:v>5</x:v>
      </x:c>
      <x:c r="D5" s="131" t="n">
        <x:f>1/C5</x:f>
        <x:v>0.2</x:v>
      </x:c>
      <x:c r="E5" t="str">
        <x:v>Illustrative placeholder; replace before underwriting use.</x:v>
      </x:c>
    </x:row>
    <x:row r="6">
      <x:c r="A6" t="n">
        <x:v>35</x:v>
      </x:c>
      <x:c r="B6" s="84" t="n">
        <x:f>A6/25.4</x:f>
        <x:v>1.3779527559055118</x:v>
      </x:c>
      <x:c r="C6" s="83" t="n">
        <x:v>10</x:v>
      </x:c>
      <x:c r="D6" s="131" t="n">
        <x:f>1/C6</x:f>
        <x:v>0.1</x:v>
      </x:c>
      <x:c r="E6" t="str">
        <x:v>Editable AEP input.</x:v>
      </x:c>
    </x:row>
    <x:row r="7">
      <x:c r="A7" t="n">
        <x:v>45</x:v>
      </x:c>
      <x:c r="B7" s="84" t="n">
        <x:f>A7/25.4</x:f>
        <x:v>1.7716535433070868</x:v>
      </x:c>
      <x:c r="C7" s="83" t="n">
        <x:v>25</x:v>
      </x:c>
      <x:c r="D7" s="131" t="n">
        <x:f>1/C7</x:f>
        <x:v>0.04</x:v>
      </x:c>
      <x:c r="E7" t="str">
        <x:v>Editable AEP input.</x:v>
      </x:c>
    </x:row>
    <x:row r="8">
      <x:c r="A8" t="n">
        <x:v>50</x:v>
      </x:c>
      <x:c r="B8" s="84" t="n">
        <x:f>A8/25.4</x:f>
        <x:v>1.968503937007874</x:v>
      </x:c>
      <x:c r="C8" s="83" t="n">
        <x:v>50</x:v>
      </x:c>
      <x:c r="D8" s="131" t="n">
        <x:f>1/C8</x:f>
        <x:v>0.02</x:v>
      </x:c>
      <x:c r="E8" t="str">
        <x:v>Editable AEP input.</x:v>
      </x:c>
    </x:row>
    <x:row r="9">
      <x:c r="A9" t="n">
        <x:v>55</x:v>
      </x:c>
      <x:c r="B9" s="84" t="n">
        <x:f>A9/25.4</x:f>
        <x:v>2.1653543307086616</x:v>
      </x:c>
      <x:c r="C9" s="83" t="n">
        <x:v>75</x:v>
      </x:c>
      <x:c r="D9" s="131" t="n">
        <x:f>1/C9</x:f>
        <x:v>0.013333333333333334</x:v>
      </x:c>
      <x:c r="E9" t="str">
        <x:v>Editable AEP input.</x:v>
      </x:c>
    </x:row>
    <x:row r="10">
      <x:c r="A10" t="n">
        <x:v>65</x:v>
      </x:c>
      <x:c r="B10" s="84" t="n">
        <x:f>A10/25.4</x:f>
        <x:v>2.5590551181102366</x:v>
      </x:c>
      <x:c r="C10" s="83" t="n">
        <x:v>100</x:v>
      </x:c>
      <x:c r="D10" s="131" t="n">
        <x:f>1/C10</x:f>
        <x:v>0.01</x:v>
      </x:c>
      <x:c r="E10" t="str">
        <x:v>Editable AEP input.</x:v>
      </x:c>
    </x:row>
    <x:row r="11">
      <x:c r="A11" t="n">
        <x:v>76</x:v>
      </x:c>
      <x:c r="B11" s="84" t="n">
        <x:f>A11/25.4</x:f>
        <x:v>2.9921259842519685</x:v>
      </x:c>
      <x:c r="C11" s="83" t="n">
        <x:v>250</x:v>
      </x:c>
      <x:c r="D11" s="131" t="n">
        <x:f>1/C11</x:f>
        <x:v>0.004</x:v>
      </x:c>
      <x:c r="E11" t="str">
        <x:v>Editable AEP input.</x:v>
      </x:c>
    </x:row>
    <x:row r="12">
      <x:c r="A12" t="n">
        <x:v>90</x:v>
      </x:c>
      <x:c r="B12" s="84" t="n">
        <x:f>A12/25.4</x:f>
        <x:v>3.5433070866141736</x:v>
      </x:c>
      <x:c r="C12" s="83" t="n">
        <x:v>500</x:v>
      </x:c>
      <x:c r="D12" s="131" t="n">
        <x:f>1/C12</x:f>
        <x:v>0.002</x:v>
      </x:c>
      <x:c r="E12" t="str">
        <x:v>Editable AEP input.</x:v>
      </x:c>
    </x:row>
    <x:row r="13">
      <x:c r="A13" t="n">
        <x:v>100</x:v>
      </x:c>
      <x:c r="B13" s="84" t="n">
        <x:f>A13/25.4</x:f>
        <x:v>3.937007874015748</x:v>
      </x:c>
      <x:c r="C13" s="83" t="n">
        <x:v>1000</x:v>
      </x:c>
      <x:c r="D13" s="131" t="n">
        <x:f>1/C13</x:f>
        <x:v>0.001</x:v>
      </x:c>
      <x:c r="E13" t="str">
        <x:v>Editable AEP input.</x:v>
      </x:c>
    </x:row>
    <x:row r="15">
      <x:c r="A15" s="130" t="str">
        <x:v>frequency_use_note</x:v>
      </x:c>
      <x:c r="B15" s="130" t="str">
        <x:v>Use exceedance rates λ(D) to compute bin frequencies λ(D_low)-λ(D_high).</x:v>
      </x:c>
      <x:c r="C15" s="130"/>
      <x:c r="D15" s="130"/>
      <x:c r="E15" s="130"/>
    </x:row>
    <x:row r="16">
      <x:c r="A16" s="130" t="str">
        <x:v>tail_note</x:v>
      </x:c>
      <x:c r="B16" s="130" t="str">
        <x:v>Final 100mm+ bin is included only as a placeholder tail. Tail/PML requires a real hazard distribution.</x:v>
      </x:c>
      <x:c r="C16" s="130"/>
      <x:c r="D16" s="130"/>
      <x:c r="E16" s="130"/>
    </x:row>
    <x:row r="17">
      <x:c r="A17" s="130" t="str">
        <x:v>site_frequency_status</x:v>
      </x:c>
      <x:c r="B17" s="130" t="str">
        <x:v>illustrative_placeholder</x:v>
      </x:c>
      <x:c r="C17" s="130"/>
      <x:c r="D17" s="130"/>
      <x:c r="E17" s="130"/>
    </x:row>
  </x:sheetData>
  <x:mergeCells>
    <x:mergeCell ref="A1:E1"/>
    <x:mergeCell ref="A2:E2"/>
  </x:mergeCells>
  <x:pageMargins left="0.7" right="0.7" top="0.75" bottom="0.75" header="0.3" footer="0.3"/>
  <x:tableParts count="1">
    <x:tablePart xmlns:r="http://schemas.openxmlformats.org/officeDocument/2006/relationships" r:id="R6f4676393bc649f9"/>
  </x:tableParts>
</x:worksheet>
</file>

<file path=xl/worksheets/sheet29.xml><?xml version="1.0" encoding="utf-8"?>
<x:worksheet xmlns:x="http://schemas.openxmlformats.org/spreadsheetml/2006/main">
  <x:sheetFormatPr defaultRowHeight="15"/>
  <x:cols>
    <x:col min="1" max="1" width="10" hidden="0" customWidth="1"/>
    <x:col min="2" max="2" width="10" hidden="0" customWidth="1"/>
    <x:col min="3" max="3" width="18" hidden="0" customWidth="1"/>
    <x:col min="4" max="4" width="18" hidden="0" customWidth="1"/>
    <x:col min="5" max="5" width="20" hidden="0" customWidth="1"/>
    <x:col min="6" max="6" width="16" hidden="0" customWidth="1"/>
    <x:col min="7" max="7" width="20" hidden="0" customWidth="1"/>
    <x:col min="8" max="8" width="14" hidden="0" customWidth="1"/>
    <x:col min="9" max="9" width="16" hidden="0" customWidth="1"/>
    <x:col min="10" max="10" width="16" hidden="0" customWidth="1"/>
    <x:col min="11" max="11" width="16" hidden="0" customWidth="1"/>
  </x:cols>
  <x:sheetData>
    <x:row r="1" ht="28" customHeight="1">
      <x:c r="A1" s="106" t="str">
        <x:v>Hail × Solar v1.1 — Conditioned Site Severity Curve</x:v>
      </x:c>
      <x:c r="B1" s="106"/>
      <x:c r="C1" s="106"/>
      <x:c r="D1" s="106"/>
      <x:c r="E1" s="106"/>
      <x:c r="F1" s="106"/>
      <x:c r="G1" s="106"/>
      <x:c r="H1" s="106"/>
      <x:c r="I1" s="106"/>
      <x:c r="J1" s="106"/>
    </x:row>
    <x:row r="2" ht="28" customHeight="1">
      <x:c r="A2" s="109" t="str">
        <x:v>Applies selected module/stow conditioning and valuation linkage. This is severity conditional on hail size; frequency is applied on separate sheets.</x:v>
      </x:c>
      <x:c r="B2" s="109"/>
      <x:c r="C2" s="109"/>
      <x:c r="D2" s="109"/>
      <x:c r="E2" s="109"/>
      <x:c r="F2" s="109"/>
      <x:c r="G2" s="109"/>
      <x:c r="H2" s="109"/>
      <x:c r="I2" s="109"/>
      <x:c r="J2" s="109"/>
    </x:row>
    <x:row r="4">
      <x:c r="A4" s="114" t="str">
        <x:v>D_mm</x:v>
      </x:c>
      <x:c r="B4" s="114" t="str">
        <x:v>D_in</x:v>
      </x:c>
      <x:c r="C4" s="114" t="str">
        <x:v>unstowed_module_DR</x:v>
      </x:c>
      <x:c r="D4" s="114" t="str">
        <x:v>stowed_module_DR</x:v>
      </x:c>
      <x:c r="E4" s="114" t="str">
        <x:v>conditioned_module_DR</x:v>
      </x:c>
      <x:c r="F4" s="114" t="str">
        <x:v>PV_ARRAY_loss_pct</x:v>
      </x:c>
      <x:c r="G4" s="114" t="str">
        <x:v>physical_base_loss_pct</x:v>
      </x:c>
      <x:c r="H4" s="114" t="str">
        <x:v>TIV_loss_pct</x:v>
      </x:c>
      <x:c r="I4" s="114" t="str">
        <x:v>loss_USD</x:v>
      </x:c>
      <x:c r="J4" s="114" t="str">
        <x:v>cap_utilization</x:v>
      </x:c>
      <x:c r="K4" s="114" t="str">
        <x:v>cap_USD</x:v>
      </x:c>
    </x:row>
    <x:row r="5">
      <x:c r="A5" t="n">
        <x:v>0</x:v>
      </x:c>
      <x:c r="B5" s="84" t="n">
        <x:f>A5/25.4</x:f>
        <x:v>0</x:v>
      </x:c>
      <x:c r="C5" s="30" t="n">
        <x:f>1/(1+EXP(-'Hail_Site_Inputs'!$B$20*(A5-'Hail_Site_Inputs'!$B$19)))</x:f>
        <x:v>0.00015956055453832162</x:v>
      </x:c>
      <x:c r="D5" s="30" t="n">
        <x:f>'Hail_Site_Inputs'!$B$18/(1+EXP(-'Hail_Site_Inputs'!$B$20*(A5-('Hail_Site_Inputs'!$B$19+'Hail_Site_Inputs'!$B$17))))</x:f>
        <x:v>0.00003808733444710071</x:v>
      </x:c>
      <x:c r="E5" s="30" t="n">
        <x:f>IF('Hail_Site_Inputs'!$B$15="Unstowed",C5,IF('Hail_Site_Inputs'!$B$15="Stowed",D5,'Hail_Site_Inputs'!$B$16*D5+(1-'Hail_Site_Inputs'!$B$16)*C5))</x:f>
        <x:v>0.00008667662248358908</x:v>
      </x:c>
      <x:c r="F5" s="30" t="n">
        <x:f>E5*'Hail_Site_Inputs'!$B$12</x:f>
        <x:v>0.00006934129798687127</x:v>
      </x:c>
      <x:c r="G5" s="30" t="n">
        <x:f>E5*'Hail_Site_Inputs'!$B$11*'Hail_Site_Inputs'!$B$12*'Hail_Site_Inputs'!$B$13</x:f>
        <x:v>0.000023004459622605128</x:v>
      </x:c>
      <x:c r="H5" s="30" t="n">
        <x:f>G5*'Hail_Site_Inputs'!$B$10/'Hail_Site_Inputs'!$B$9</x:f>
        <x:v>0.00001802965695705203</x:v>
      </x:c>
      <x:c r="I5" s="28" t="n">
        <x:f>E5*'Hail_Site_Inputs'!$B$21</x:f>
        <x:v>2019.3215791898276</x:v>
      </x:c>
      <x:c r="J5" s="30" t="n">
        <x:f>IFERROR(I5/'Hail_Site_Inputs'!$B$21,0)</x:f>
        <x:v>0.00008667662248358908</x:v>
      </x:c>
      <x:c r="K5" s="28" t="n">
        <x:f>'Hail_Site_Inputs'!$B$21</x:f>
        <x:v>23297188.11519399</x:v>
      </x:c>
    </x:row>
    <x:row r="6">
      <x:c r="A6" t="n">
        <x:v>5</x:v>
      </x:c>
      <x:c r="B6" s="84" t="n">
        <x:f>A6/25.4</x:f>
        <x:v>0.1968503937007874</x:v>
      </x:c>
      <x:c r="C6" s="30" t="n">
        <x:f>1/(1+EXP(-'Hail_Site_Inputs'!$B$20*(A6-'Hail_Site_Inputs'!$B$19)))</x:f>
        <x:v>0.0003656873918796337</x:v>
      </x:c>
      <x:c r="D6" s="30" t="n">
        <x:f>'Hail_Site_Inputs'!$B$18/(1+EXP(-'Hail_Site_Inputs'!$B$20*(A6-('Hail_Site_Inputs'!$B$19+'Hail_Site_Inputs'!$B$17))))</x:f>
        <x:v>0.00008730333256445133</x:v>
      </x:c>
      <x:c r="E6" s="30" t="n">
        <x:f>IF('Hail_Site_Inputs'!$B$15="Unstowed",C6,IF('Hail_Site_Inputs'!$B$15="Stowed",D6,'Hail_Site_Inputs'!$B$16*D6+(1-'Hail_Site_Inputs'!$B$16)*C6))</x:f>
        <x:v>0.00019865695629052427</x:v>
      </x:c>
      <x:c r="F6" s="30" t="n">
        <x:f>E6*'Hail_Site_Inputs'!$B$12</x:f>
        <x:v>0.00015892556503241943</x:v>
      </x:c>
      <x:c r="G6" s="30" t="n">
        <x:f>E6*'Hail_Site_Inputs'!$B$11*'Hail_Site_Inputs'!$B$12*'Hail_Site_Inputs'!$B$13</x:f>
        <x:v>0.00005272466553020404</x:v>
      </x:c>
      <x:c r="H6" s="30" t="n">
        <x:f>G6*'Hail_Site_Inputs'!$B$10/'Hail_Site_Inputs'!$B$9</x:f>
        <x:v>0.0000413227542954662</x:v>
      </x:c>
      <x:c r="I6" s="28" t="n">
        <x:f>E6*'Hail_Site_Inputs'!$B$21</x:f>
        <x:v>4628.148481092214</x:v>
      </x:c>
      <x:c r="J6" s="30" t="n">
        <x:f>IFERROR(I6/'Hail_Site_Inputs'!$B$21,0)</x:f>
        <x:v>0.00019865695629052427</x:v>
      </x:c>
      <x:c r="K6" s="28" t="n">
        <x:f>'Hail_Site_Inputs'!$B$21</x:f>
        <x:v>23297188.11519399</x:v>
      </x:c>
    </x:row>
    <x:row r="7">
      <x:c r="A7" t="n">
        <x:v>10</x:v>
      </x:c>
      <x:c r="B7" s="84" t="n">
        <x:f>A7/25.4</x:f>
        <x:v>0.3937007874015748</x:v>
      </x:c>
      <x:c r="C7" s="30" t="n">
        <x:f>1/(1+EXP(-'Hail_Site_Inputs'!$B$20*(A7-'Hail_Site_Inputs'!$B$19)))</x:f>
        <x:v>0.0008378741441447493</x:v>
      </x:c>
      <x:c r="D7" s="30" t="n">
        <x:f>'Hail_Site_Inputs'!$B$18/(1+EXP(-'Hail_Site_Inputs'!$B$20*(A7-('Hail_Site_Inputs'!$B$19+'Hail_Site_Inputs'!$B$17))))</x:f>
        <x:v>0.00020010151462709997</x:v>
      </x:c>
      <x:c r="E7" s="30" t="n">
        <x:f>IF('Hail_Site_Inputs'!$B$15="Unstowed",C7,IF('Hail_Site_Inputs'!$B$15="Stowed",D7,'Hail_Site_Inputs'!$B$16*D7+(1-'Hail_Site_Inputs'!$B$16)*C7))</x:f>
        <x:v>0.0004552105664341597</x:v>
      </x:c>
      <x:c r="F7" s="30" t="n">
        <x:f>E7*'Hail_Site_Inputs'!$B$12</x:f>
        <x:v>0.0003641684531473278</x:v>
      </x:c>
      <x:c r="G7" s="30" t="n">
        <x:f>E7*'Hail_Site_Inputs'!$B$11*'Hail_Site_Inputs'!$B$12*'Hail_Site_Inputs'!$B$13</x:f>
        <x:v>0.00012081542629675641</x:v>
      </x:c>
      <x:c r="H7" s="30" t="n">
        <x:f>G7*'Hail_Site_Inputs'!$B$10/'Hail_Site_Inputs'!$B$9</x:f>
        <x:v>0.00009468862677000562</x:v>
      </x:c>
      <x:c r="I7" s="28" t="n">
        <x:f>E7*'Hail_Site_Inputs'!$B$21</x:f>
        <x:v>10605.12619824063</x:v>
      </x:c>
      <x:c r="J7" s="30" t="n">
        <x:f>IFERROR(I7/'Hail_Site_Inputs'!$B$21,0)</x:f>
        <x:v>0.0004552105664341598</x:v>
      </x:c>
      <x:c r="K7" s="28" t="n">
        <x:f>'Hail_Site_Inputs'!$B$21</x:f>
        <x:v>23297188.11519399</x:v>
      </x:c>
    </x:row>
    <x:row r="8">
      <x:c r="A8" t="n">
        <x:v>15</x:v>
      </x:c>
      <x:c r="B8" s="84" t="n">
        <x:f>A8/25.4</x:f>
        <x:v>0.5905511811023623</x:v>
      </x:c>
      <x:c r="C8" s="30" t="n">
        <x:f>1/(1+EXP(-'Hail_Site_Inputs'!$B$20*(A8-'Hail_Site_Inputs'!$B$19)))</x:f>
        <x:v>0.0019185926845235667</x:v>
      </x:c>
      <x:c r="D8" s="30" t="n">
        <x:f>'Hail_Site_Inputs'!$B$18/(1+EXP(-'Hail_Site_Inputs'!$B$20*(A8-('Hail_Site_Inputs'!$B$19+'Hail_Site_Inputs'!$B$17))))</x:f>
        <x:v>0.0004585636260498335</x:v>
      </x:c>
      <x:c r="E8" s="30" t="n">
        <x:f>IF('Hail_Site_Inputs'!$B$15="Unstowed",C8,IF('Hail_Site_Inputs'!$B$15="Stowed",D8,'Hail_Site_Inputs'!$B$16*D8+(1-'Hail_Site_Inputs'!$B$16)*C8))</x:f>
        <x:v>0.0010425752494393268</x:v>
      </x:c>
      <x:c r="F8" s="30" t="n">
        <x:f>E8*'Hail_Site_Inputs'!$B$12</x:f>
        <x:v>0.0008340601995514615</x:v>
      </x:c>
      <x:c r="G8" s="30" t="n">
        <x:f>E8*'Hail_Site_Inputs'!$B$11*'Hail_Site_Inputs'!$B$12*'Hail_Site_Inputs'!$B$13</x:f>
        <x:v>0.0002767052931001719</x:v>
      </x:c>
      <x:c r="H8" s="30" t="n">
        <x:f>G8*'Hail_Site_Inputs'!$B$10/'Hail_Site_Inputs'!$B$9</x:f>
        <x:v>0.00021686671170029727</x:v>
      </x:c>
      <x:c r="I8" s="28" t="n">
        <x:f>E8*'Hail_Site_Inputs'!$B$21</x:f>
        <x:v>24289.071710433294</x:v>
      </x:c>
      <x:c r="J8" s="30" t="n">
        <x:f>IFERROR(I8/'Hail_Site_Inputs'!$B$21,0)</x:f>
        <x:v>0.0010425752494393268</x:v>
      </x:c>
      <x:c r="K8" s="28" t="n">
        <x:f>'Hail_Site_Inputs'!$B$21</x:f>
        <x:v>23297188.11519399</x:v>
      </x:c>
    </x:row>
    <x:row r="9">
      <x:c r="A9" t="n">
        <x:v>20</x:v>
      </x:c>
      <x:c r="B9" s="84" t="n">
        <x:f>A9/25.4</x:f>
        <x:v>0.7874015748031497</x:v>
      </x:c>
      <x:c r="C9" s="30" t="n">
        <x:f>1/(1+EXP(-'Hail_Site_Inputs'!$B$20*(A9-'Hail_Site_Inputs'!$B$19)))</x:f>
        <x:v>0.004387138150406361</x:v>
      </x:c>
      <x:c r="D9" s="30" t="n">
        <x:f>'Hail_Site_Inputs'!$B$18/(1+EXP(-'Hail_Site_Inputs'!$B$20*(A9-('Hail_Site_Inputs'!$B$19+'Hail_Site_Inputs'!$B$17))))</x:f>
        <x:v>0.0010504798533409686</x:v>
      </x:c>
      <x:c r="E9" s="30" t="n">
        <x:f>IF('Hail_Site_Inputs'!$B$15="Unstowed",C9,IF('Hail_Site_Inputs'!$B$15="Stowed",D9,'Hail_Site_Inputs'!$B$16*D9+(1-'Hail_Site_Inputs'!$B$16)*C9))</x:f>
        <x:v>0.0023851431721671253</x:v>
      </x:c>
      <x:c r="F9" s="30" t="n">
        <x:f>E9*'Hail_Site_Inputs'!$B$12</x:f>
        <x:v>0.0019081145377337003</x:v>
      </x:c>
      <x:c r="G9" s="30" t="n">
        <x:f>E9*'Hail_Site_Inputs'!$B$11*'Hail_Site_Inputs'!$B$12*'Hail_Site_Inputs'!$B$13</x:f>
        <x:v>0.0006330303168958799</x:v>
      </x:c>
      <x:c r="H9" s="30" t="n">
        <x:f>G9*'Hail_Site_Inputs'!$B$10/'Hail_Site_Inputs'!$B$9</x:f>
        <x:v>0.0004961350818182861</x:v>
      </x:c>
      <x:c r="I9" s="28" t="n">
        <x:f>E9*'Hail_Site_Inputs'!$B$21</x:f>
        <x:v>55567.129163648046</x:v>
      </x:c>
      <x:c r="J9" s="30" t="n">
        <x:f>IFERROR(I9/'Hail_Site_Inputs'!$B$21,0)</x:f>
        <x:v>0.0023851431721671253</x:v>
      </x:c>
      <x:c r="K9" s="28" t="n">
        <x:f>'Hail_Site_Inputs'!$B$21</x:f>
        <x:v>23297188.11519399</x:v>
      </x:c>
    </x:row>
    <x:row r="10">
      <x:c r="A10" t="n">
        <x:v>25</x:v>
      </x:c>
      <x:c r="B10" s="84" t="n">
        <x:f>A10/25.4</x:f>
        <x:v>0.984251968503937</x:v>
      </x:c>
      <x:c r="C10" s="30" t="n">
        <x:f>1/(1+EXP(-'Hail_Site_Inputs'!$B$20*(A10-'Hail_Site_Inputs'!$B$19)))</x:f>
        <x:v>0.010000000000000028</x:v>
      </x:c>
      <x:c r="D10" s="30" t="n">
        <x:f>'Hail_Site_Inputs'!$B$18/(1+EXP(-'Hail_Site_Inputs'!$B$20*(A10-('Hail_Site_Inputs'!$B$19+'Hail_Site_Inputs'!$B$17))))</x:f>
        <x:v>0.0024044022737841767</x:v>
      </x:c>
      <x:c r="E10" s="30" t="n">
        <x:f>IF('Hail_Site_Inputs'!$B$15="Unstowed",C10,IF('Hail_Site_Inputs'!$B$15="Stowed",D10,'Hail_Site_Inputs'!$B$16*D10+(1-'Hail_Site_Inputs'!$B$16)*C10))</x:f>
        <x:v>0.005442641364270517</x:v>
      </x:c>
      <x:c r="F10" s="30" t="n">
        <x:f>E10*'Hail_Site_Inputs'!$B$12</x:f>
        <x:v>0.004354113091416414</x:v>
      </x:c>
      <x:c r="G10" s="30" t="n">
        <x:f>E10*'Hail_Site_Inputs'!$B$11*'Hail_Site_Inputs'!$B$12*'Hail_Site_Inputs'!$B$13</x:f>
        <x:v>0.0014445074106156743</x:v>
      </x:c>
      <x:c r="H10" s="30" t="n">
        <x:f>G10*'Hail_Site_Inputs'!$B$10/'Hail_Site_Inputs'!$B$9</x:f>
        <x:v>0.0011321271402405918</x:v>
      </x:c>
      <x:c r="I10" s="28" t="n">
        <x:f>E10*'Hail_Site_Inputs'!$B$21</x:f>
        <x:v>126798.23970694629</x:v>
      </x:c>
      <x:c r="J10" s="30" t="n">
        <x:f>IFERROR(I10/'Hail_Site_Inputs'!$B$21,0)</x:f>
        <x:v>0.005442641364270517</x:v>
      </x:c>
      <x:c r="K10" s="28" t="n">
        <x:f>'Hail_Site_Inputs'!$B$21</x:f>
        <x:v>23297188.11519399</x:v>
      </x:c>
    </x:row>
    <x:row r="11">
      <x:c r="A11" t="n">
        <x:v>30</x:v>
      </x:c>
      <x:c r="B11" s="84" t="n">
        <x:f>A11/25.4</x:f>
        <x:v>1.1811023622047245</x:v>
      </x:c>
      <x:c r="C11" s="30" t="n">
        <x:f>1/(1+EXP(-'Hail_Site_Inputs'!$B$20*(A11-'Hail_Site_Inputs'!$B$19)))</x:f>
        <x:v>0.02263067476729788</x:v>
      </x:c>
      <x:c r="D11" s="30" t="n">
        <x:f>'Hail_Site_Inputs'!$B$18/(1+EXP(-'Hail_Site_Inputs'!$B$20*(A11-('Hail_Site_Inputs'!$B$19+'Hail_Site_Inputs'!$B$17))))</x:f>
        <x:v>0.005492680128678025</x:v>
      </x:c>
      <x:c r="E11" s="30" t="n">
        <x:f>IF('Hail_Site_Inputs'!$B$15="Unstowed",C11,IF('Hail_Site_Inputs'!$B$15="Stowed",D11,'Hail_Site_Inputs'!$B$16*D11+(1-'Hail_Site_Inputs'!$B$16)*C11))</x:f>
        <x:v>0.012347877984125967</x:v>
      </x:c>
      <x:c r="F11" s="30" t="n">
        <x:f>E11*'Hail_Site_Inputs'!$B$12</x:f>
        <x:v>0.009878302387300773</x:v>
      </x:c>
      <x:c r="G11" s="30" t="n">
        <x:f>E11*'Hail_Site_Inputs'!$B$11*'Hail_Site_Inputs'!$B$12*'Hail_Site_Inputs'!$B$13</x:f>
        <x:v>0.0032771957694182467</x:v>
      </x:c>
      <x:c r="H11" s="30" t="n">
        <x:f>G11*'Hail_Site_Inputs'!$B$10/'Hail_Site_Inputs'!$B$9</x:f>
        <x:v>0.002568489609103973</x:v>
      </x:c>
      <x:c r="I11" s="28" t="n">
        <x:f>E11*'Hail_Site_Inputs'!$B$21</x:f>
        <x:v>287670.836219645</x:v>
      </x:c>
      <x:c r="J11" s="30" t="n">
        <x:f>IFERROR(I11/'Hail_Site_Inputs'!$B$21,0)</x:f>
        <x:v>0.012347877984125967</x:v>
      </x:c>
      <x:c r="K11" s="28" t="n">
        <x:f>'Hail_Site_Inputs'!$B$21</x:f>
        <x:v>23297188.11519399</x:v>
      </x:c>
    </x:row>
    <x:row r="12">
      <x:c r="A12" t="n">
        <x:v>35</x:v>
      </x:c>
      <x:c r="B12" s="84" t="n">
        <x:f>A12/25.4</x:f>
        <x:v>1.3779527559055118</x:v>
      </x:c>
      <x:c r="C12" s="30" t="n">
        <x:f>1/(1+EXP(-'Hail_Site_Inputs'!$B$20*(A12-'Hail_Site_Inputs'!$B$19)))</x:f>
        <x:v>0.05040253045391812</x:v>
      </x:c>
      <x:c r="D12" s="30" t="n">
        <x:f>'Hail_Site_Inputs'!$B$18/(1+EXP(-'Hail_Site_Inputs'!$B$20*(A12-('Hail_Site_Inputs'!$B$19+'Hail_Site_Inputs'!$B$17))))</x:f>
        <x:v>0.012492417070752396</x:v>
      </x:c>
      <x:c r="E12" s="30" t="n">
        <x:f>IF('Hail_Site_Inputs'!$B$15="Unstowed",C12,IF('Hail_Site_Inputs'!$B$15="Stowed",D12,'Hail_Site_Inputs'!$B$16*D12+(1-'Hail_Site_Inputs'!$B$16)*C12))</x:f>
        <x:v>0.027656462424018688</x:v>
      </x:c>
      <x:c r="F12" s="30" t="n">
        <x:f>E12*'Hail_Site_Inputs'!$B$12</x:f>
        <x:v>0.022125169939214952</x:v>
      </x:c>
      <x:c r="G12" s="30" t="n">
        <x:f>E12*'Hail_Site_Inputs'!$B$11*'Hail_Site_Inputs'!$B$12*'Hail_Site_Inputs'!$B$13</x:f>
        <x:v>0.0073401795652327465</x:v>
      </x:c>
      <x:c r="H12" s="30" t="n">
        <x:f>G12*'Hail_Site_Inputs'!$B$10/'Hail_Site_Inputs'!$B$9</x:f>
        <x:v>0.0057528375686889035</x:v>
      </x:c>
      <x:c r="I12" s="28" t="n">
        <x:f>E12*'Hail_Site_Inputs'!$B$21</x:f>
        <x:v>644317.8076931573</x:v>
      </x:c>
      <x:c r="J12" s="30" t="n">
        <x:f>IFERROR(I12/'Hail_Site_Inputs'!$B$21,0)</x:f>
        <x:v>0.027656462424018688</x:v>
      </x:c>
      <x:c r="K12" s="28" t="n">
        <x:f>'Hail_Site_Inputs'!$B$21</x:f>
        <x:v>23297188.11519399</x:v>
      </x:c>
    </x:row>
    <x:row r="13">
      <x:c r="A13" t="n">
        <x:v>40</x:v>
      </x:c>
      <x:c r="B13" s="84" t="n">
        <x:f>A13/25.4</x:f>
        <x:v>1.5748031496062993</x:v>
      </x:c>
      <x:c r="C13" s="30" t="n">
        <x:f>1/(1+EXP(-'Hail_Site_Inputs'!$B$20*(A13-'Hail_Site_Inputs'!$B$19)))</x:f>
        <x:v>0.10847291856463541</x:v>
      </x:c>
      <x:c r="D13" s="30" t="n">
        <x:f>'Hail_Site_Inputs'!$B$18/(1+EXP(-'Hail_Site_Inputs'!$B$20*(A13-('Hail_Site_Inputs'!$B$19+'Hail_Site_Inputs'!$B$17))))</x:f>
        <x:v>0.02813190746944255</x:v>
      </x:c>
      <x:c r="E13" s="30" t="n">
        <x:f>IF('Hail_Site_Inputs'!$B$15="Unstowed",C13,IF('Hail_Site_Inputs'!$B$15="Stowed",D13,'Hail_Site_Inputs'!$B$16*D13+(1-'Hail_Site_Inputs'!$B$16)*C13))</x:f>
        <x:v>0.06026831190751969</x:v>
      </x:c>
      <x:c r="F13" s="30" t="n">
        <x:f>E13*'Hail_Site_Inputs'!$B$12</x:f>
        <x:v>0.04821464952601576</x:v>
      </x:c>
      <x:c r="G13" s="30" t="n">
        <x:f>E13*'Hail_Site_Inputs'!$B$11*'Hail_Site_Inputs'!$B$12*'Hail_Site_Inputs'!$B$13</x:f>
        <x:v>0.015995546527688132</x:v>
      </x:c>
      <x:c r="H13" s="30" t="n">
        <x:f>G13*'Hail_Site_Inputs'!$B$10/'Hail_Site_Inputs'!$B$9</x:f>
        <x:v>0.012536448213345285</x:v>
      </x:c>
      <x:c r="I13" s="28" t="n">
        <x:f>E13*'Hail_Site_Inputs'!$B$21</x:f>
        <x:v>1404082.199894672</x:v>
      </x:c>
      <x:c r="J13" s="30" t="n">
        <x:f>IFERROR(I13/'Hail_Site_Inputs'!$B$21,0)</x:f>
        <x:v>0.06026831190751969</x:v>
      </x:c>
      <x:c r="K13" s="28" t="n">
        <x:f>'Hail_Site_Inputs'!$B$21</x:f>
        <x:v>23297188.11519399</x:v>
      </x:c>
    </x:row>
    <x:row r="14">
      <x:c r="A14" t="n">
        <x:v>45</x:v>
      </x:c>
      <x:c r="B14" s="84" t="n">
        <x:f>A14/25.4</x:f>
        <x:v>1.7716535433070868</x:v>
      </x:c>
      <x:c r="C14" s="30" t="n">
        <x:f>1/(1+EXP(-'Hail_Site_Inputs'!$B$20*(A14-'Hail_Site_Inputs'!$B$19)))</x:f>
        <x:v>0.21808285131604127</x:v>
      </x:c>
      <x:c r="D14" s="30" t="n">
        <x:f>'Hail_Site_Inputs'!$B$18/(1+EXP(-'Hail_Site_Inputs'!$B$20*(A14-('Hail_Site_Inputs'!$B$19+'Hail_Site_Inputs'!$B$17))))</x:f>
        <x:v>0.06198334894361754</x:v>
      </x:c>
      <x:c r="E14" s="30" t="n">
        <x:f>IF('Hail_Site_Inputs'!$B$15="Unstowed",C14,IF('Hail_Site_Inputs'!$B$15="Stowed",D14,'Hail_Site_Inputs'!$B$16*D14+(1-'Hail_Site_Inputs'!$B$16)*C14))</x:f>
        <x:v>0.12442314989258703</x:v>
      </x:c>
      <x:c r="F14" s="30" t="n">
        <x:f>E14*'Hail_Site_Inputs'!$B$12</x:f>
        <x:v>0.09953851991406963</x:v>
      </x:c>
      <x:c r="G14" s="30" t="n">
        <x:f>E14*'Hail_Site_Inputs'!$B$11*'Hail_Site_Inputs'!$B$12*'Hail_Site_Inputs'!$B$13</x:f>
        <x:v>0.033022598779310935</x:v>
      </x:c>
      <x:c r="H14" s="30" t="n">
        <x:f>G14*'Hail_Site_Inputs'!$B$10/'Hail_Site_Inputs'!$B$9</x:f>
        <x:v>0.025881335079755163</x:v>
      </x:c>
      <x:c r="I14" s="28" t="n">
        <x:f>E14*'Hail_Site_Inputs'!$B$21</x:f>
        <x:v>2898709.528932579</x:v>
      </x:c>
      <x:c r="J14" s="30" t="n">
        <x:f>IFERROR(I14/'Hail_Site_Inputs'!$B$21,0)</x:f>
        <x:v>0.12442314989258703</x:v>
      </x:c>
      <x:c r="K14" s="28" t="n">
        <x:f>'Hail_Site_Inputs'!$B$21</x:f>
        <x:v>23297188.11519399</x:v>
      </x:c>
    </x:row>
    <x:row r="15">
      <x:c r="A15" t="n">
        <x:v>50</x:v>
      </x:c>
      <x:c r="B15" s="84" t="n">
        <x:f>A15/25.4</x:f>
        <x:v>1.968503937007874</x:v>
      </x:c>
      <x:c r="C15" s="30" t="n">
        <x:f>1/(1+EXP(-'Hail_Site_Inputs'!$B$20*(A15-'Hail_Site_Inputs'!$B$19)))</x:f>
        <x:v>0.39</x:v>
      </x:c>
      <x:c r="D15" s="30" t="n">
        <x:f>'Hail_Site_Inputs'!$B$18/(1+EXP(-'Hail_Site_Inputs'!$B$20*(A15-('Hail_Site_Inputs'!$B$19+'Hail_Site_Inputs'!$B$17))))</x:f>
        <x:v>0.13047289639190182</x:v>
      </x:c>
      <x:c r="E15" s="30" t="n">
        <x:f>IF('Hail_Site_Inputs'!$B$15="Unstowed",C15,IF('Hail_Site_Inputs'!$B$15="Stowed",D15,'Hail_Site_Inputs'!$B$16*D15+(1-'Hail_Site_Inputs'!$B$16)*C15))</x:f>
        <x:v>0.23428373783514111</x:v>
      </x:c>
      <x:c r="F15" s="30" t="n">
        <x:f>E15*'Hail_Site_Inputs'!$B$12</x:f>
        <x:v>0.1874269902681129</x:v>
      </x:c>
      <x:c r="G15" s="30" t="n">
        <x:f>E15*'Hail_Site_Inputs'!$B$11*'Hail_Site_Inputs'!$B$12*'Hail_Site_Inputs'!$B$13</x:f>
        <x:v>0.062180212297519355</x:v>
      </x:c>
      <x:c r="H15" s="30" t="n">
        <x:f>G15*'Hail_Site_Inputs'!$B$10/'Hail_Site_Inputs'!$B$9</x:f>
        <x:v>0.04873350279175065</x:v>
      </x:c>
      <x:c r="I15" s="28" t="n">
        <x:f>E15*'Hail_Site_Inputs'!$B$21</x:f>
        <x:v>5458152.312676074</x:v>
      </x:c>
      <x:c r="J15" s="30" t="n">
        <x:f>IFERROR(I15/'Hail_Site_Inputs'!$B$21,0)</x:f>
        <x:v>0.23428373783514111</x:v>
      </x:c>
      <x:c r="K15" s="28" t="n">
        <x:f>'Hail_Site_Inputs'!$B$21</x:f>
        <x:v>23297188.11519399</x:v>
      </x:c>
    </x:row>
    <x:row r="16">
      <x:c r="A16" t="n">
        <x:v>55</x:v>
      </x:c>
      <x:c r="B16" s="84" t="n">
        <x:f>A16/25.4</x:f>
        <x:v>2.1653543307086616</x:v>
      </x:c>
      <x:c r="C16" s="30" t="n">
        <x:f>1/(1+EXP(-'Hail_Site_Inputs'!$B$20*(A16-'Hail_Site_Inputs'!$B$19)))</x:f>
        <x:v>0.5944154940093985</x:v>
      </x:c>
      <x:c r="D16" s="30" t="n">
        <x:f>'Hail_Site_Inputs'!$B$18/(1+EXP(-'Hail_Site_Inputs'!$B$20*(A16-('Hail_Site_Inputs'!$B$19+'Hail_Site_Inputs'!$B$17))))</x:f>
        <x:v>0.2518934132342453</x:v>
      </x:c>
      <x:c r="E16" s="30" t="n">
        <x:f>IF('Hail_Site_Inputs'!$B$15="Unstowed",C16,IF('Hail_Site_Inputs'!$B$15="Stowed",D16,'Hail_Site_Inputs'!$B$16*D16+(1-'Hail_Site_Inputs'!$B$16)*C16))</x:f>
        <x:v>0.3889022455443066</x:v>
      </x:c>
      <x:c r="F16" s="30" t="n">
        <x:f>E16*'Hail_Site_Inputs'!$B$12</x:f>
        <x:v>0.3111217964354453</x:v>
      </x:c>
      <x:c r="G16" s="30" t="n">
        <x:f>E16*'Hail_Site_Inputs'!$B$11*'Hail_Site_Inputs'!$B$12*'Hail_Site_Inputs'!$B$13</x:f>
        <x:v>0.10321682765682694</x:v>
      </x:c>
      <x:c r="H16" s="30" t="n">
        <x:f>G16*'Hail_Site_Inputs'!$B$10/'Hail_Site_Inputs'!$B$9</x:f>
        <x:v>0.08089579261488457</x:v>
      </x:c>
      <x:c r="I16" s="28" t="n">
        <x:f>E16*'Hail_Site_Inputs'!$B$21</x:f>
        <x:v>9060328.772867074</x:v>
      </x:c>
      <x:c r="J16" s="30" t="n">
        <x:f>IFERROR(I16/'Hail_Site_Inputs'!$B$21,0)</x:f>
        <x:v>0.3889022455443066</x:v>
      </x:c>
      <x:c r="K16" s="28" t="n">
        <x:f>'Hail_Site_Inputs'!$B$21</x:f>
        <x:v>23297188.11519399</x:v>
      </x:c>
    </x:row>
    <x:row r="17">
      <x:c r="A17" t="n">
        <x:v>60</x:v>
      </x:c>
      <x:c r="B17" s="84" t="n">
        <x:f>A17/25.4</x:f>
        <x:v>2.362204724409449</x:v>
      </x:c>
      <x:c r="C17" s="30" t="n">
        <x:f>1/(1+EXP(-'Hail_Site_Inputs'!$B$20*(A17-'Hail_Site_Inputs'!$B$19)))</x:f>
        <x:v>0.7706191985599966</x:v>
      </x:c>
      <x:c r="D17" s="30" t="n">
        <x:f>'Hail_Site_Inputs'!$B$18/(1+EXP(-'Hail_Site_Inputs'!$B$20*(A17-('Hail_Site_Inputs'!$B$19+'Hail_Site_Inputs'!$B$17))))</x:f>
        <x:v>0.42404413053113504</x:v>
      </x:c>
      <x:c r="E17" s="30" t="n">
        <x:f>IF('Hail_Site_Inputs'!$B$15="Unstowed",C17,IF('Hail_Site_Inputs'!$B$15="Stowed",D17,'Hail_Site_Inputs'!$B$16*D17+(1-'Hail_Site_Inputs'!$B$16)*C17))</x:f>
        <x:v>0.5626741577426797</x:v>
      </x:c>
      <x:c r="F17" s="30" t="n">
        <x:f>E17*'Hail_Site_Inputs'!$B$12</x:f>
        <x:v>0.45013932619414376</x:v>
      </x:c>
      <x:c r="G17" s="30" t="n">
        <x:f>E17*'Hail_Site_Inputs'!$B$11*'Hail_Site_Inputs'!$B$12*'Hail_Site_Inputs'!$B$13</x:f>
        <x:v>0.1493368635230979</x:v>
      </x:c>
      <x:c r="H17" s="30" t="n">
        <x:f>G17*'Hail_Site_Inputs'!$B$10/'Hail_Site_Inputs'!$B$9</x:f>
        <x:v>0.11704219375437093</x:v>
      </x:c>
      <x:c r="I17" s="28" t="n">
        <x:f>E17*'Hail_Site_Inputs'!$B$21</x:f>
        <x:v>13108725.700489545</x:v>
      </x:c>
      <x:c r="J17" s="30" t="n">
        <x:f>IFERROR(I17/'Hail_Site_Inputs'!$B$21,0)</x:f>
        <x:v>0.5626741577426797</x:v>
      </x:c>
      <x:c r="K17" s="28" t="n">
        <x:f>'Hail_Site_Inputs'!$B$21</x:f>
        <x:v>23297188.11519399</x:v>
      </x:c>
    </x:row>
    <x:row r="18">
      <x:c r="A18" t="n">
        <x:v>65</x:v>
      </x:c>
      <x:c r="B18" s="84" t="n">
        <x:f>A18/25.4</x:f>
        <x:v>2.5590551181102366</x:v>
      </x:c>
      <x:c r="C18" s="30" t="n">
        <x:f>1/(1+EXP(-'Hail_Site_Inputs'!$B$20*(A18-'Hail_Site_Inputs'!$B$19)))</x:f>
        <x:v>0.8850729367231496</x:v>
      </x:c>
      <x:c r="D18" s="30" t="n">
        <x:f>'Hail_Site_Inputs'!$B$18/(1+EXP(-'Hail_Site_Inputs'!$B$20*(A18-('Hail_Site_Inputs'!$B$19+'Hail_Site_Inputs'!$B$17))))</x:f>
        <x:v>0.6041706491264874</x:v>
      </x:c>
      <x:c r="E18" s="30" t="n">
        <x:f>IF('Hail_Site_Inputs'!$B$15="Unstowed",C18,IF('Hail_Site_Inputs'!$B$15="Stowed",D18,'Hail_Site_Inputs'!$B$16*D18+(1-'Hail_Site_Inputs'!$B$16)*C18))</x:f>
        <x:v>0.7165315641651524</x:v>
      </x:c>
      <x:c r="F18" s="30" t="n">
        <x:f>E18*'Hail_Site_Inputs'!$B$12</x:f>
        <x:v>0.573225251332122</x:v>
      </x:c>
      <x:c r="G18" s="30" t="n">
        <x:f>E18*'Hail_Site_Inputs'!$B$11*'Hail_Site_Inputs'!$B$12*'Hail_Site_Inputs'!$B$13</x:f>
        <x:v>0.19017147835081175</x:v>
      </x:c>
      <x:c r="H18" s="30" t="n">
        <x:f>G18*'Hail_Site_Inputs'!$B$10/'Hail_Site_Inputs'!$B$9</x:f>
        <x:v>0.14904616643597987</x:v>
      </x:c>
      <x:c r="I18" s="28" t="n">
        <x:f>E18*'Hail_Site_Inputs'!$B$21</x:f>
        <x:v>16693170.640829748</x:v>
      </x:c>
      <x:c r="J18" s="30" t="n">
        <x:f>IFERROR(I18/'Hail_Site_Inputs'!$B$21,0)</x:f>
        <x:v>0.7165315641651524</x:v>
      </x:c>
      <x:c r="K18" s="28" t="n">
        <x:f>'Hail_Site_Inputs'!$B$21</x:f>
        <x:v>23297188.11519399</x:v>
      </x:c>
    </x:row>
    <x:row r="19">
      <x:c r="A19" t="n">
        <x:v>70</x:v>
      </x:c>
      <x:c r="B19" s="84" t="n">
        <x:f>A19/25.4</x:f>
        <x:v>2.7559055118110236</x:v>
      </x:c>
      <x:c r="C19" s="30" t="n">
        <x:f>1/(1+EXP(-'Hail_Site_Inputs'!$B$20*(A19-'Hail_Site_Inputs'!$B$19)))</x:f>
        <x:v>0.9463907488182206</x:v>
      </x:c>
      <x:c r="D19" s="30" t="n">
        <x:f>'Hail_Site_Inputs'!$B$18/(1+EXP(-'Hail_Site_Inputs'!$B$20*(A19-('Hail_Site_Inputs'!$B$19+'Hail_Site_Inputs'!$B$17))))</x:f>
        <x:v>0.741593331604856</x:v>
      </x:c>
      <x:c r="E19" s="30" t="n">
        <x:f>IF('Hail_Site_Inputs'!$B$15="Unstowed",C19,IF('Hail_Site_Inputs'!$B$15="Stowed",D19,'Hail_Site_Inputs'!$B$16*D19+(1-'Hail_Site_Inputs'!$B$16)*C19))</x:f>
        <x:v>0.8235122984902018</x:v>
      </x:c>
      <x:c r="F19" s="30" t="n">
        <x:f>E19*'Hail_Site_Inputs'!$B$12</x:f>
        <x:v>0.6588098387921615</x:v>
      </x:c>
      <x:c r="G19" s="30" t="n">
        <x:f>E19*'Hail_Site_Inputs'!$B$11*'Hail_Site_Inputs'!$B$12*'Hail_Site_Inputs'!$B$13</x:f>
        <x:v>0.21856476263739322</x:v>
      </x:c>
      <x:c r="H19" s="30" t="n">
        <x:f>G19*'Hail_Site_Inputs'!$B$10/'Hail_Site_Inputs'!$B$9</x:f>
        <x:v>0.17129929404555366</x:v>
      </x:c>
      <x:c r="I19" s="28" t="n">
        <x:f>E19*'Hail_Site_Inputs'!$B$21</x:f>
        <x:v>19185520.933102015</x:v>
      </x:c>
      <x:c r="J19" s="30" t="n">
        <x:f>IFERROR(I19/'Hail_Site_Inputs'!$B$21,0)</x:f>
        <x:v>0.8235122984902018</x:v>
      </x:c>
      <x:c r="K19" s="28" t="n">
        <x:f>'Hail_Site_Inputs'!$B$21</x:f>
        <x:v>23297188.11519399</x:v>
      </x:c>
    </x:row>
    <x:row r="20">
      <x:c r="A20" t="n">
        <x:v>75</x:v>
      </x:c>
      <x:c r="B20" s="84" t="n">
        <x:f>A20/25.4</x:f>
        <x:v>2.952755905511811</x:v>
      </x:c>
      <x:c r="C20" s="30" t="n">
        <x:f>1/(1+EXP(-'Hail_Site_Inputs'!$B$20*(A20-'Hail_Site_Inputs'!$B$19)))</x:f>
        <x:v>0.9758846403110824</x:v>
      </x:c>
      <x:c r="D20" s="30" t="n">
        <x:f>'Hail_Site_Inputs'!$B$18/(1+EXP(-'Hail_Site_Inputs'!$B$20*(A20-('Hail_Site_Inputs'!$B$19+'Hail_Site_Inputs'!$B$17))))</x:f>
        <x:v>0.823284424092372</x:v>
      </x:c>
      <x:c r="E20" s="30" t="n">
        <x:f>IF('Hail_Site_Inputs'!$B$15="Unstowed",C20,IF('Hail_Site_Inputs'!$B$15="Stowed",D20,'Hail_Site_Inputs'!$B$16*D20+(1-'Hail_Site_Inputs'!$B$16)*C20))</x:f>
        <x:v>0.8843245105798562</x:v>
      </x:c>
      <x:c r="F20" s="30" t="n">
        <x:f>E20*'Hail_Site_Inputs'!$B$12</x:f>
        <x:v>0.707459608463885</x:v>
      </x:c>
      <x:c r="G20" s="30" t="n">
        <x:f>E20*'Hail_Site_Inputs'!$B$11*'Hail_Site_Inputs'!$B$12*'Hail_Site_Inputs'!$B$13</x:f>
        <x:v>0.23470466331064138</x:v>
      </x:c>
      <x:c r="H20" s="30" t="n">
        <x:f>G20*'Hail_Site_Inputs'!$B$10/'Hail_Site_Inputs'!$B$9</x:f>
        <x:v>0.18394887926656936</x:v>
      </x:c>
      <x:c r="I20" s="28" t="n">
        <x:f>E20*'Hail_Site_Inputs'!$B$21</x:f>
        <x:v>20602274.477855768</x:v>
      </x:c>
      <x:c r="J20" s="30" t="n">
        <x:f>IFERROR(I20/'Hail_Site_Inputs'!$B$21,0)</x:f>
        <x:v>0.8843245105798563</x:v>
      </x:c>
      <x:c r="K20" s="28" t="n">
        <x:f>'Hail_Site_Inputs'!$B$21</x:f>
        <x:v>23297188.11519399</x:v>
      </x:c>
    </x:row>
    <x:row r="21">
      <x:c r="A21" t="n">
        <x:v>80</x:v>
      </x:c>
      <x:c r="B21" s="84" t="n">
        <x:f>A21/25.4</x:f>
        <x:v>3.1496062992125986</x:v>
      </x:c>
      <x:c r="C21" s="30" t="n">
        <x:f>1/(1+EXP(-'Hail_Site_Inputs'!$B$20*(A21-'Hail_Site_Inputs'!$B$19)))</x:f>
        <x:v>0.989334908120679</x:v>
      </x:c>
      <x:c r="D21" s="30" t="n">
        <x:f>'Hail_Site_Inputs'!$B$18/(1+EXP(-'Hail_Site_Inputs'!$B$20*(A21-('Hail_Site_Inputs'!$B$19+'Hail_Site_Inputs'!$B$17))))</x:f>
        <x:v>0.8648441572600246</x:v>
      </x:c>
      <x:c r="E21" s="30" t="n">
        <x:f>IF('Hail_Site_Inputs'!$B$15="Unstowed",C21,IF('Hail_Site_Inputs'!$B$15="Stowed",D21,'Hail_Site_Inputs'!$B$16*D21+(1-'Hail_Site_Inputs'!$B$16)*C21))</x:f>
        <x:v>0.9146404576042864</x:v>
      </x:c>
      <x:c r="F21" s="30" t="n">
        <x:f>E21*'Hail_Site_Inputs'!$B$12</x:f>
        <x:v>0.7317123660834292</x:v>
      </x:c>
      <x:c r="G21" s="30" t="n">
        <x:f>E21*'Hail_Site_Inputs'!$B$11*'Hail_Site_Inputs'!$B$12*'Hail_Site_Inputs'!$B$13</x:f>
        <x:v>0.24275068493979035</x:v>
      </x:c>
      <x:c r="H21" s="30" t="n">
        <x:f>G21*'Hail_Site_Inputs'!$B$10/'Hail_Site_Inputs'!$B$9</x:f>
        <x:v>0.19025491784441223</x:v>
      </x:c>
      <x:c r="I21" s="28" t="n">
        <x:f>E21*'Hail_Site_Inputs'!$B$21</x:f>
        <x:v>21308550.798574172</x:v>
      </x:c>
      <x:c r="J21" s="30" t="n">
        <x:f>IFERROR(I21/'Hail_Site_Inputs'!$B$21,0)</x:f>
        <x:v>0.9146404576042864</x:v>
      </x:c>
      <x:c r="K21" s="28" t="n">
        <x:f>'Hail_Site_Inputs'!$B$21</x:f>
        <x:v>23297188.11519399</x:v>
      </x:c>
    </x:row>
    <x:row r="22">
      <x:c r="A22" t="n">
        <x:v>85</x:v>
      </x:c>
      <x:c r="B22" s="84" t="n">
        <x:f>A22/25.4</x:f>
        <x:v>3.346456692913386</x:v>
      </x:c>
      <x:c r="C22" s="30" t="n">
        <x:f>1/(1+EXP(-'Hail_Site_Inputs'!$B$20*(A22-'Hail_Site_Inputs'!$B$19)))</x:f>
        <x:v>0.9953193118709364</x:v>
      </x:c>
      <x:c r="D22" s="30" t="n">
        <x:f>'Hail_Site_Inputs'!$B$18/(1+EXP(-'Hail_Site_Inputs'!$B$20*(A22-('Hail_Site_Inputs'!$B$19+'Hail_Site_Inputs'!$B$17))))</x:f>
        <x:v>0.8843182597272451</x:v>
      </x:c>
      <x:c r="E22" s="30" t="n">
        <x:f>IF('Hail_Site_Inputs'!$B$15="Unstowed",C22,IF('Hail_Site_Inputs'!$B$15="Stowed",D22,'Hail_Site_Inputs'!$B$16*D22+(1-'Hail_Site_Inputs'!$B$16)*C22))</x:f>
        <x:v>0.9287186805847216</x:v>
      </x:c>
      <x:c r="F22" s="30" t="n">
        <x:f>E22*'Hail_Site_Inputs'!$B$12</x:f>
        <x:v>0.7429749444677773</x:v>
      </x:c>
      <x:c r="G22" s="30" t="n">
        <x:f>E22*'Hail_Site_Inputs'!$B$11*'Hail_Site_Inputs'!$B$12*'Hail_Site_Inputs'!$B$13</x:f>
        <x:v>0.2464871239337391</x:v>
      </x:c>
      <x:c r="H22" s="30" t="n">
        <x:f>G22*'Hail_Site_Inputs'!$B$10/'Hail_Site_Inputs'!$B$9</x:f>
        <x:v>0.1931833375685448</x:v>
      </x:c>
      <x:c r="I22" s="28" t="n">
        <x:f>E22*'Hail_Site_Inputs'!$B$21</x:f>
        <x:v>21636533.80767702</x:v>
      </x:c>
      <x:c r="J22" s="30" t="n">
        <x:f>IFERROR(I22/'Hail_Site_Inputs'!$B$21,0)</x:f>
        <x:v>0.9287186805847216</x:v>
      </x:c>
      <x:c r="K22" s="28" t="n">
        <x:f>'Hail_Site_Inputs'!$B$21</x:f>
        <x:v>23297188.11519399</x:v>
      </x:c>
    </x:row>
    <x:row r="23">
      <x:c r="A23" t="n">
        <x:v>90</x:v>
      </x:c>
      <x:c r="B23" s="84" t="n">
        <x:f>A23/25.4</x:f>
        <x:v>3.5433070866141736</x:v>
      </x:c>
      <x:c r="C23" s="30" t="n">
        <x:f>1/(1+EXP(-'Hail_Site_Inputs'!$B$20*(A23-'Hail_Site_Inputs'!$B$19)))</x:f>
        <x:v>0.9979526917555898</x:v>
      </x:c>
      <x:c r="D23" s="30" t="n">
        <x:f>'Hail_Site_Inputs'!$B$18/(1+EXP(-'Hail_Site_Inputs'!$B$20*(A23-('Hail_Site_Inputs'!$B$19+'Hail_Site_Inputs'!$B$17))))</x:f>
        <x:v>0.8930911232770519</x:v>
      </x:c>
      <x:c r="E23" s="30" t="n">
        <x:f>IF('Hail_Site_Inputs'!$B$15="Unstowed",C23,IF('Hail_Site_Inputs'!$B$15="Stowed",D23,'Hail_Site_Inputs'!$B$16*D23+(1-'Hail_Site_Inputs'!$B$16)*C23))</x:f>
        <x:v>0.935035750668467</x:v>
      </x:c>
      <x:c r="F23" s="30" t="n">
        <x:f>E23*'Hail_Site_Inputs'!$B$12</x:f>
        <x:v>0.7480286005347736</x:v>
      </x:c>
      <x:c r="G23" s="30" t="n">
        <x:f>E23*'Hail_Site_Inputs'!$B$11*'Hail_Site_Inputs'!$B$12*'Hail_Site_Inputs'!$B$13</x:f>
        <x:v>0.24816370960944656</x:v>
      </x:c>
      <x:c r="H23" s="30" t="n">
        <x:f>G23*'Hail_Site_Inputs'!$B$10/'Hail_Site_Inputs'!$B$9</x:f>
        <x:v>0.1944973551585259</x:v>
      </x:c>
      <x:c r="I23" s="28" t="n">
        <x:f>E23*'Hail_Site_Inputs'!$B$21</x:f>
        <x:v>21783703.7777549</x:v>
      </x:c>
      <x:c r="J23" s="30" t="n">
        <x:f>IFERROR(I23/'Hail_Site_Inputs'!$B$21,0)</x:f>
        <x:v>0.935035750668467</x:v>
      </x:c>
      <x:c r="K23" s="28" t="n">
        <x:f>'Hail_Site_Inputs'!$B$21</x:f>
        <x:v>23297188.11519399</x:v>
      </x:c>
    </x:row>
    <x:row r="24">
      <x:c r="A24" t="n">
        <x:v>95</x:v>
      </x:c>
      <x:c r="B24" s="84" t="n">
        <x:f>A24/25.4</x:f>
        <x:v>3.7401574803149606</x:v>
      </x:c>
      <x:c r="C24" s="30" t="n">
        <x:f>1/(1+EXP(-'Hail_Site_Inputs'!$B$20*(A24-'Hail_Site_Inputs'!$B$19)))</x:f>
        <x:v>0.9991058491585353</x:v>
      </x:c>
      <x:c r="D24" s="30" t="n">
        <x:f>'Hail_Site_Inputs'!$B$18/(1+EXP(-'Hail_Site_Inputs'!$B$20*(A24-('Hail_Site_Inputs'!$B$19+'Hail_Site_Inputs'!$B$17))))</x:f>
        <x:v>0.8969729678592995</x:v>
      </x:c>
      <x:c r="E24" s="30" t="n">
        <x:f>IF('Hail_Site_Inputs'!$B$15="Unstowed",C24,IF('Hail_Site_Inputs'!$B$15="Stowed",D24,'Hail_Site_Inputs'!$B$16*D24+(1-'Hail_Site_Inputs'!$B$16)*C24))</x:f>
        <x:v>0.9378261203789938</x:v>
      </x:c>
      <x:c r="F24" s="30" t="n">
        <x:f>E24*'Hail_Site_Inputs'!$B$12</x:f>
        <x:v>0.7502608963031951</x:v>
      </x:c>
      <x:c r="G24" s="30" t="n">
        <x:f>E24*'Hail_Site_Inputs'!$B$11*'Hail_Site_Inputs'!$B$12*'Hail_Site_Inputs'!$B$13</x:f>
        <x:v>0.24890428931246977</x:v>
      </x:c>
      <x:c r="H24" s="30" t="n">
        <x:f>G24*'Hail_Site_Inputs'!$B$10/'Hail_Site_Inputs'!$B$9</x:f>
        <x:v>0.19507778165903555</x:v>
      </x:c>
      <x:c r="I24" s="28" t="n">
        <x:f>E24*'Hail_Site_Inputs'!$B$21</x:f>
        <x:v>21848711.54581198</x:v>
      </x:c>
      <x:c r="J24" s="30" t="n">
        <x:f>IFERROR(I24/'Hail_Site_Inputs'!$B$21,0)</x:f>
        <x:v>0.9378261203789938</x:v>
      </x:c>
      <x:c r="K24" s="28" t="n">
        <x:f>'Hail_Site_Inputs'!$B$21</x:f>
        <x:v>23297188.11519399</x:v>
      </x:c>
    </x:row>
    <x:row r="25">
      <x:c r="A25" t="n">
        <x:v>100</x:v>
      </x:c>
      <x:c r="B25" s="84" t="n">
        <x:f>A25/25.4</x:f>
        <x:v>3.937007874015748</x:v>
      </x:c>
      <x:c r="C25" s="30" t="n">
        <x:f>1/(1+EXP(-'Hail_Site_Inputs'!$B$20*(A25-'Hail_Site_Inputs'!$B$19)))</x:f>
        <x:v>0.9996097384426917</x:v>
      </x:c>
      <x:c r="D25" s="30" t="n">
        <x:f>'Hail_Site_Inputs'!$B$18/(1+EXP(-'Hail_Site_Inputs'!$B$20*(A25-('Hail_Site_Inputs'!$B$19+'Hail_Site_Inputs'!$B$17))))</x:f>
        <x:v>0.8986769772871513</x:v>
      </x:c>
      <x:c r="E25" s="30" t="n">
        <x:f>IF('Hail_Site_Inputs'!$B$15="Unstowed",C25,IF('Hail_Site_Inputs'!$B$15="Stowed",D25,'Hail_Site_Inputs'!$B$16*D25+(1-'Hail_Site_Inputs'!$B$16)*C25))</x:f>
        <x:v>0.9390500817493674</x:v>
      </x:c>
      <x:c r="F25" s="30" t="n">
        <x:f>E25*'Hail_Site_Inputs'!$B$12</x:f>
        <x:v>0.751240065399494</x:v>
      </x:c>
      <x:c r="G25" s="30" t="n">
        <x:f>E25*'Hail_Site_Inputs'!$B$11*'Hail_Site_Inputs'!$B$12*'Hail_Site_Inputs'!$B$13</x:f>
        <x:v>0.24922913549495362</x:v>
      </x:c>
      <x:c r="H25" s="30" t="n">
        <x:f>G25*'Hail_Site_Inputs'!$B$10/'Hail_Site_Inputs'!$B$9</x:f>
        <x:v>0.19533237860806524</x:v>
      </x:c>
      <x:c r="I25" s="28" t="n">
        <x:f>E25*'Hail_Site_Inputs'!$B$21</x:f>
        <x:v>21877226.404103305</x:v>
      </x:c>
      <x:c r="J25" s="30" t="n">
        <x:f>IFERROR(I25/'Hail_Site_Inputs'!$B$21,0)</x:f>
        <x:v>0.9390500817493673</x:v>
      </x:c>
      <x:c r="K25" s="28" t="n">
        <x:f>'Hail_Site_Inputs'!$B$21</x:f>
        <x:v>23297188.11519399</x:v>
      </x:c>
    </x:row>
  </x:sheetData>
  <x:mergeCells>
    <x:mergeCell ref="A1:J1"/>
    <x:mergeCell ref="A2:J2"/>
  </x:mergeCells>
  <x:pageMargins left="0.7" right="0.7" top="0.75" bottom="0.75" header="0.3" footer="0.3"/>
  <x:tableParts count="1">
    <x:tablePart xmlns:r="http://schemas.openxmlformats.org/officeDocument/2006/relationships" r:id="Rf928403aebd143f6"/>
  </x:tableParts>
</x:worksheet>
</file>

<file path=xl/worksheets/sheet30.xml><?xml version="1.0" encoding="utf-8"?>
<x:worksheet xmlns:x="http://schemas.openxmlformats.org/spreadsheetml/2006/main">
  <x:sheetFormatPr defaultRowHeight="15"/>
  <x:cols>
    <x:col min="1" max="1" width="20" hidden="0" customWidth="1"/>
    <x:col min="2" max="2" width="16" hidden="0" customWidth="1"/>
    <x:col min="3" max="3" width="22" hidden="0" customWidth="1"/>
    <x:col min="4" max="4" width="18" hidden="0" customWidth="1"/>
    <x:col min="5" max="5" width="22" hidden="0" customWidth="1"/>
    <x:col min="6" max="6" width="16" hidden="0" customWidth="1"/>
    <x:col min="7" max="7" width="16" hidden="0" customWidth="1"/>
    <x:col min="8" max="8" width="16" hidden="0" customWidth="1"/>
  </x:cols>
  <x:sheetData>
    <x:row r="1" ht="28" customHeight="1">
      <x:c r="A1" s="106" t="str">
        <x:v>Hail × Solar v1.1 — Return Period Loss View</x:v>
      </x:c>
      <x:c r="B1" s="106"/>
      <x:c r="C1" s="106"/>
      <x:c r="D1" s="106"/>
      <x:c r="E1" s="106"/>
      <x:c r="F1" s="106"/>
      <x:c r="G1" s="106"/>
      <x:c r="H1" s="106"/>
    </x:row>
    <x:row r="2" ht="28" customHeight="1">
      <x:c r="A2" s="109" t="str">
        <x:v>Maps the site MESH exceedance thresholds to the conditioned loss curve. Good for communication, not a substitute for EAL integration.</x:v>
      </x:c>
      <x:c r="B2" s="109"/>
      <x:c r="C2" s="109"/>
      <x:c r="D2" s="109"/>
      <x:c r="E2" s="109"/>
      <x:c r="F2" s="109"/>
      <x:c r="G2" s="109"/>
      <x:c r="H2" s="109"/>
    </x:row>
    <x:row r="4">
      <x:c r="A4" s="114" t="str">
        <x:v>return_period_years</x:v>
      </x:c>
      <x:c r="B4" s="114" t="str">
        <x:v>threshold_D_mm</x:v>
      </x:c>
      <x:c r="C4" s="114" t="str">
        <x:v>conditioned_module_DR</x:v>
      </x:c>
      <x:c r="D4" s="114" t="str">
        <x:v>PV_ARRAY_loss_pct</x:v>
      </x:c>
      <x:c r="E4" s="114" t="str">
        <x:v>physical_base_loss_pct</x:v>
      </x:c>
      <x:c r="F4" s="114" t="str">
        <x:v>TIV_loss_pct</x:v>
      </x:c>
      <x:c r="G4" s="114" t="str">
        <x:v>loss_USD</x:v>
      </x:c>
      <x:c r="H4" s="114" t="str">
        <x:v>cap_utilization</x:v>
      </x:c>
    </x:row>
    <x:row r="5">
      <x:c r="A5" s="83" t="n">
        <x:f>'Hail_Hazard_Frequency'!C5</x:f>
        <x:v>5</x:v>
      </x:c>
      <x:c r="B5" s="83" t="n">
        <x:f>'Hail_Hazard_Frequency'!A5</x:f>
        <x:v>25</x:v>
      </x:c>
      <x:c r="C5" s="30" t="n">
        <x:f>IF('Hail_Site_Inputs'!$B$15="Unstowed",1/(1+EXP(-'Hail_Site_Inputs'!$B$20*(B5-'Hail_Site_Inputs'!$B$19))),IF('Hail_Site_Inputs'!$B$15="Stowed",'Hail_Site_Inputs'!$B$18/(1+EXP(-'Hail_Site_Inputs'!$B$20*(B5-('Hail_Site_Inputs'!$B$19+'Hail_Site_Inputs'!$B$17)))),'Hail_Site_Inputs'!$B$16*('Hail_Site_Inputs'!$B$18/(1+EXP(-'Hail_Site_Inputs'!$B$20*(B5-('Hail_Site_Inputs'!$B$19+'Hail_Site_Inputs'!$B$17)))))+(1-'Hail_Site_Inputs'!$B$16)*(1/(1+EXP(-'Hail_Site_Inputs'!$B$20*(B5-'Hail_Site_Inputs'!$B$19))))))</x:f>
        <x:v>0.005442641364270517</x:v>
      </x:c>
      <x:c r="D5" s="30" t="n">
        <x:f>C5*'Hail_Site_Inputs'!$B$12</x:f>
        <x:v>0.004354113091416414</x:v>
      </x:c>
      <x:c r="E5" s="30" t="n">
        <x:f>C5*'Hail_Site_Inputs'!$B$11*'Hail_Site_Inputs'!$B$12*'Hail_Site_Inputs'!$B$13</x:f>
        <x:v>0.0014445074106156743</x:v>
      </x:c>
      <x:c r="F5" s="30" t="n">
        <x:f>E5*'Hail_Site_Inputs'!$B$10/'Hail_Site_Inputs'!$B$9</x:f>
        <x:v>0.0011321271402405918</x:v>
      </x:c>
      <x:c r="G5" s="28" t="n">
        <x:f>C5*'Hail_Site_Inputs'!$B$21</x:f>
        <x:v>126798.23970694629</x:v>
      </x:c>
      <x:c r="H5" s="30" t="n">
        <x:f>IFERROR(G5/'Hail_Site_Inputs'!$B$21,0)</x:f>
        <x:v>0.005442641364270517</x:v>
      </x:c>
    </x:row>
    <x:row r="6">
      <x:c r="A6" s="83" t="n">
        <x:f>'Hail_Hazard_Frequency'!C6</x:f>
        <x:v>10</x:v>
      </x:c>
      <x:c r="B6" s="83" t="n">
        <x:f>'Hail_Hazard_Frequency'!A6</x:f>
        <x:v>35</x:v>
      </x:c>
      <x:c r="C6" s="30" t="n">
        <x:f>IF('Hail_Site_Inputs'!$B$15="Unstowed",1/(1+EXP(-'Hail_Site_Inputs'!$B$20*(B6-'Hail_Site_Inputs'!$B$19))),IF('Hail_Site_Inputs'!$B$15="Stowed",'Hail_Site_Inputs'!$B$18/(1+EXP(-'Hail_Site_Inputs'!$B$20*(B6-('Hail_Site_Inputs'!$B$19+'Hail_Site_Inputs'!$B$17)))),'Hail_Site_Inputs'!$B$16*('Hail_Site_Inputs'!$B$18/(1+EXP(-'Hail_Site_Inputs'!$B$20*(B6-('Hail_Site_Inputs'!$B$19+'Hail_Site_Inputs'!$B$17)))))+(1-'Hail_Site_Inputs'!$B$16)*(1/(1+EXP(-'Hail_Site_Inputs'!$B$20*(B6-'Hail_Site_Inputs'!$B$19))))))</x:f>
        <x:v>0.027656462424018688</x:v>
      </x:c>
      <x:c r="D6" s="30" t="n">
        <x:f>C6*'Hail_Site_Inputs'!$B$12</x:f>
        <x:v>0.022125169939214952</x:v>
      </x:c>
      <x:c r="E6" s="30" t="n">
        <x:f>C6*'Hail_Site_Inputs'!$B$11*'Hail_Site_Inputs'!$B$12*'Hail_Site_Inputs'!$B$13</x:f>
        <x:v>0.0073401795652327465</x:v>
      </x:c>
      <x:c r="F6" s="30" t="n">
        <x:f>E6*'Hail_Site_Inputs'!$B$10/'Hail_Site_Inputs'!$B$9</x:f>
        <x:v>0.0057528375686889035</x:v>
      </x:c>
      <x:c r="G6" s="28" t="n">
        <x:f>C6*'Hail_Site_Inputs'!$B$21</x:f>
        <x:v>644317.8076931573</x:v>
      </x:c>
      <x:c r="H6" s="30" t="n">
        <x:f>IFERROR(G6/'Hail_Site_Inputs'!$B$21,0)</x:f>
        <x:v>0.027656462424018688</x:v>
      </x:c>
    </x:row>
    <x:row r="7">
      <x:c r="A7" s="83" t="n">
        <x:f>'Hail_Hazard_Frequency'!C7</x:f>
        <x:v>25</x:v>
      </x:c>
      <x:c r="B7" s="83" t="n">
        <x:f>'Hail_Hazard_Frequency'!A7</x:f>
        <x:v>45</x:v>
      </x:c>
      <x:c r="C7" s="30" t="n">
        <x:f>IF('Hail_Site_Inputs'!$B$15="Unstowed",1/(1+EXP(-'Hail_Site_Inputs'!$B$20*(B7-'Hail_Site_Inputs'!$B$19))),IF('Hail_Site_Inputs'!$B$15="Stowed",'Hail_Site_Inputs'!$B$18/(1+EXP(-'Hail_Site_Inputs'!$B$20*(B7-('Hail_Site_Inputs'!$B$19+'Hail_Site_Inputs'!$B$17)))),'Hail_Site_Inputs'!$B$16*('Hail_Site_Inputs'!$B$18/(1+EXP(-'Hail_Site_Inputs'!$B$20*(B7-('Hail_Site_Inputs'!$B$19+'Hail_Site_Inputs'!$B$17)))))+(1-'Hail_Site_Inputs'!$B$16)*(1/(1+EXP(-'Hail_Site_Inputs'!$B$20*(B7-'Hail_Site_Inputs'!$B$19))))))</x:f>
        <x:v>0.12442314989258703</x:v>
      </x:c>
      <x:c r="D7" s="30" t="n">
        <x:f>C7*'Hail_Site_Inputs'!$B$12</x:f>
        <x:v>0.09953851991406963</x:v>
      </x:c>
      <x:c r="E7" s="30" t="n">
        <x:f>C7*'Hail_Site_Inputs'!$B$11*'Hail_Site_Inputs'!$B$12*'Hail_Site_Inputs'!$B$13</x:f>
        <x:v>0.033022598779310935</x:v>
      </x:c>
      <x:c r="F7" s="30" t="n">
        <x:f>E7*'Hail_Site_Inputs'!$B$10/'Hail_Site_Inputs'!$B$9</x:f>
        <x:v>0.025881335079755163</x:v>
      </x:c>
      <x:c r="G7" s="28" t="n">
        <x:f>C7*'Hail_Site_Inputs'!$B$21</x:f>
        <x:v>2898709.528932579</x:v>
      </x:c>
      <x:c r="H7" s="30" t="n">
        <x:f>IFERROR(G7/'Hail_Site_Inputs'!$B$21,0)</x:f>
        <x:v>0.12442314989258703</x:v>
      </x:c>
    </x:row>
    <x:row r="8">
      <x:c r="A8" s="83" t="n">
        <x:f>'Hail_Hazard_Frequency'!C8</x:f>
        <x:v>50</x:v>
      </x:c>
      <x:c r="B8" s="83" t="n">
        <x:f>'Hail_Hazard_Frequency'!A8</x:f>
        <x:v>50</x:v>
      </x:c>
      <x:c r="C8" s="30" t="n">
        <x:f>IF('Hail_Site_Inputs'!$B$15="Unstowed",1/(1+EXP(-'Hail_Site_Inputs'!$B$20*(B8-'Hail_Site_Inputs'!$B$19))),IF('Hail_Site_Inputs'!$B$15="Stowed",'Hail_Site_Inputs'!$B$18/(1+EXP(-'Hail_Site_Inputs'!$B$20*(B8-('Hail_Site_Inputs'!$B$19+'Hail_Site_Inputs'!$B$17)))),'Hail_Site_Inputs'!$B$16*('Hail_Site_Inputs'!$B$18/(1+EXP(-'Hail_Site_Inputs'!$B$20*(B8-('Hail_Site_Inputs'!$B$19+'Hail_Site_Inputs'!$B$17)))))+(1-'Hail_Site_Inputs'!$B$16)*(1/(1+EXP(-'Hail_Site_Inputs'!$B$20*(B8-'Hail_Site_Inputs'!$B$19))))))</x:f>
        <x:v>0.23428373783514111</x:v>
      </x:c>
      <x:c r="D8" s="30" t="n">
        <x:f>C8*'Hail_Site_Inputs'!$B$12</x:f>
        <x:v>0.1874269902681129</x:v>
      </x:c>
      <x:c r="E8" s="30" t="n">
        <x:f>C8*'Hail_Site_Inputs'!$B$11*'Hail_Site_Inputs'!$B$12*'Hail_Site_Inputs'!$B$13</x:f>
        <x:v>0.062180212297519355</x:v>
      </x:c>
      <x:c r="F8" s="30" t="n">
        <x:f>E8*'Hail_Site_Inputs'!$B$10/'Hail_Site_Inputs'!$B$9</x:f>
        <x:v>0.04873350279175065</x:v>
      </x:c>
      <x:c r="G8" s="28" t="n">
        <x:f>C8*'Hail_Site_Inputs'!$B$21</x:f>
        <x:v>5458152.312676074</x:v>
      </x:c>
      <x:c r="H8" s="30" t="n">
        <x:f>IFERROR(G8/'Hail_Site_Inputs'!$B$21,0)</x:f>
        <x:v>0.23428373783514111</x:v>
      </x:c>
    </x:row>
    <x:row r="9">
      <x:c r="A9" s="83" t="n">
        <x:f>'Hail_Hazard_Frequency'!C9</x:f>
        <x:v>75</x:v>
      </x:c>
      <x:c r="B9" s="83" t="n">
        <x:f>'Hail_Hazard_Frequency'!A9</x:f>
        <x:v>55</x:v>
      </x:c>
      <x:c r="C9" s="30" t="n">
        <x:f>IF('Hail_Site_Inputs'!$B$15="Unstowed",1/(1+EXP(-'Hail_Site_Inputs'!$B$20*(B9-'Hail_Site_Inputs'!$B$19))),IF('Hail_Site_Inputs'!$B$15="Stowed",'Hail_Site_Inputs'!$B$18/(1+EXP(-'Hail_Site_Inputs'!$B$20*(B9-('Hail_Site_Inputs'!$B$19+'Hail_Site_Inputs'!$B$17)))),'Hail_Site_Inputs'!$B$16*('Hail_Site_Inputs'!$B$18/(1+EXP(-'Hail_Site_Inputs'!$B$20*(B9-('Hail_Site_Inputs'!$B$19+'Hail_Site_Inputs'!$B$17)))))+(1-'Hail_Site_Inputs'!$B$16)*(1/(1+EXP(-'Hail_Site_Inputs'!$B$20*(B9-'Hail_Site_Inputs'!$B$19))))))</x:f>
        <x:v>0.3889022455443066</x:v>
      </x:c>
      <x:c r="D9" s="30" t="n">
        <x:f>C9*'Hail_Site_Inputs'!$B$12</x:f>
        <x:v>0.3111217964354453</x:v>
      </x:c>
      <x:c r="E9" s="30" t="n">
        <x:f>C9*'Hail_Site_Inputs'!$B$11*'Hail_Site_Inputs'!$B$12*'Hail_Site_Inputs'!$B$13</x:f>
        <x:v>0.10321682765682694</x:v>
      </x:c>
      <x:c r="F9" s="30" t="n">
        <x:f>E9*'Hail_Site_Inputs'!$B$10/'Hail_Site_Inputs'!$B$9</x:f>
        <x:v>0.08089579261488457</x:v>
      </x:c>
      <x:c r="G9" s="28" t="n">
        <x:f>C9*'Hail_Site_Inputs'!$B$21</x:f>
        <x:v>9060328.772867074</x:v>
      </x:c>
      <x:c r="H9" s="30" t="n">
        <x:f>IFERROR(G9/'Hail_Site_Inputs'!$B$21,0)</x:f>
        <x:v>0.3889022455443066</x:v>
      </x:c>
    </x:row>
    <x:row r="10">
      <x:c r="A10" s="83" t="n">
        <x:f>'Hail_Hazard_Frequency'!C10</x:f>
        <x:v>100</x:v>
      </x:c>
      <x:c r="B10" s="83" t="n">
        <x:f>'Hail_Hazard_Frequency'!A10</x:f>
        <x:v>65</x:v>
      </x:c>
      <x:c r="C10" s="30" t="n">
        <x:f>IF('Hail_Site_Inputs'!$B$15="Unstowed",1/(1+EXP(-'Hail_Site_Inputs'!$B$20*(B10-'Hail_Site_Inputs'!$B$19))),IF('Hail_Site_Inputs'!$B$15="Stowed",'Hail_Site_Inputs'!$B$18/(1+EXP(-'Hail_Site_Inputs'!$B$20*(B10-('Hail_Site_Inputs'!$B$19+'Hail_Site_Inputs'!$B$17)))),'Hail_Site_Inputs'!$B$16*('Hail_Site_Inputs'!$B$18/(1+EXP(-'Hail_Site_Inputs'!$B$20*(B10-('Hail_Site_Inputs'!$B$19+'Hail_Site_Inputs'!$B$17)))))+(1-'Hail_Site_Inputs'!$B$16)*(1/(1+EXP(-'Hail_Site_Inputs'!$B$20*(B10-'Hail_Site_Inputs'!$B$19))))))</x:f>
        <x:v>0.7165315641651524</x:v>
      </x:c>
      <x:c r="D10" s="30" t="n">
        <x:f>C10*'Hail_Site_Inputs'!$B$12</x:f>
        <x:v>0.573225251332122</x:v>
      </x:c>
      <x:c r="E10" s="30" t="n">
        <x:f>C10*'Hail_Site_Inputs'!$B$11*'Hail_Site_Inputs'!$B$12*'Hail_Site_Inputs'!$B$13</x:f>
        <x:v>0.19017147835081175</x:v>
      </x:c>
      <x:c r="F10" s="30" t="n">
        <x:f>E10*'Hail_Site_Inputs'!$B$10/'Hail_Site_Inputs'!$B$9</x:f>
        <x:v>0.14904616643597987</x:v>
      </x:c>
      <x:c r="G10" s="28" t="n">
        <x:f>C10*'Hail_Site_Inputs'!$B$21</x:f>
        <x:v>16693170.640829748</x:v>
      </x:c>
      <x:c r="H10" s="30" t="n">
        <x:f>IFERROR(G10/'Hail_Site_Inputs'!$B$21,0)</x:f>
        <x:v>0.7165315641651524</x:v>
      </x:c>
    </x:row>
    <x:row r="11">
      <x:c r="A11" s="83" t="n">
        <x:f>'Hail_Hazard_Frequency'!C11</x:f>
        <x:v>250</x:v>
      </x:c>
      <x:c r="B11" s="83" t="n">
        <x:f>'Hail_Hazard_Frequency'!A11</x:f>
        <x:v>76</x:v>
      </x:c>
      <x:c r="C11" s="30" t="n">
        <x:f>IF('Hail_Site_Inputs'!$B$15="Unstowed",1/(1+EXP(-'Hail_Site_Inputs'!$B$20*(B11-'Hail_Site_Inputs'!$B$19))),IF('Hail_Site_Inputs'!$B$15="Stowed",'Hail_Site_Inputs'!$B$18/(1+EXP(-'Hail_Site_Inputs'!$B$20*(B11-('Hail_Site_Inputs'!$B$19+'Hail_Site_Inputs'!$B$17)))),'Hail_Site_Inputs'!$B$16*('Hail_Site_Inputs'!$B$18/(1+EXP(-'Hail_Site_Inputs'!$B$20*(B11-('Hail_Site_Inputs'!$B$19+'Hail_Site_Inputs'!$B$17)))))+(1-'Hail_Site_Inputs'!$B$16)*(1/(1+EXP(-'Hail_Site_Inputs'!$B$20*(B11-'Hail_Site_Inputs'!$B$19))))))</x:f>
        <x:v>0.8922910793909067</x:v>
      </x:c>
      <x:c r="D11" s="30" t="n">
        <x:f>C11*'Hail_Site_Inputs'!$B$12</x:f>
        <x:v>0.7138328635127253</x:v>
      </x:c>
      <x:c r="E11" s="30" t="n">
        <x:f>C11*'Hail_Site_Inputs'!$B$11*'Hail_Site_Inputs'!$B$12*'Hail_Site_Inputs'!$B$13</x:f>
        <x:v>0.23681903515962768</x:v>
      </x:c>
      <x:c r="F11" s="30" t="n">
        <x:f>E11*'Hail_Site_Inputs'!$B$10/'Hail_Site_Inputs'!$B$9</x:f>
        <x:v>0.18560601008999503</x:v>
      </x:c>
      <x:c r="G11" s="28" t="n">
        <x:f>C11*'Hail_Site_Inputs'!$B$21</x:f>
        <x:v>20787873.13007945</x:v>
      </x:c>
      <x:c r="H11" s="30" t="n">
        <x:f>IFERROR(G11/'Hail_Site_Inputs'!$B$21,0)</x:f>
        <x:v>0.8922910793909067</x:v>
      </x:c>
    </x:row>
    <x:row r="12">
      <x:c r="A12" s="83" t="n">
        <x:f>'Hail_Hazard_Frequency'!C12</x:f>
        <x:v>500</x:v>
      </x:c>
      <x:c r="B12" s="83" t="n">
        <x:f>'Hail_Hazard_Frequency'!A12</x:f>
        <x:v>90</x:v>
      </x:c>
      <x:c r="C12" s="30" t="n">
        <x:f>IF('Hail_Site_Inputs'!$B$15="Unstowed",1/(1+EXP(-'Hail_Site_Inputs'!$B$20*(B12-'Hail_Site_Inputs'!$B$19))),IF('Hail_Site_Inputs'!$B$15="Stowed",'Hail_Site_Inputs'!$B$18/(1+EXP(-'Hail_Site_Inputs'!$B$20*(B12-('Hail_Site_Inputs'!$B$19+'Hail_Site_Inputs'!$B$17)))),'Hail_Site_Inputs'!$B$16*('Hail_Site_Inputs'!$B$18/(1+EXP(-'Hail_Site_Inputs'!$B$20*(B12-('Hail_Site_Inputs'!$B$19+'Hail_Site_Inputs'!$B$17)))))+(1-'Hail_Site_Inputs'!$B$16)*(1/(1+EXP(-'Hail_Site_Inputs'!$B$20*(B12-'Hail_Site_Inputs'!$B$19))))))</x:f>
        <x:v>0.935035750668467</x:v>
      </x:c>
      <x:c r="D12" s="30" t="n">
        <x:f>C12*'Hail_Site_Inputs'!$B$12</x:f>
        <x:v>0.7480286005347736</x:v>
      </x:c>
      <x:c r="E12" s="30" t="n">
        <x:f>C12*'Hail_Site_Inputs'!$B$11*'Hail_Site_Inputs'!$B$12*'Hail_Site_Inputs'!$B$13</x:f>
        <x:v>0.24816370960944656</x:v>
      </x:c>
      <x:c r="F12" s="30" t="n">
        <x:f>E12*'Hail_Site_Inputs'!$B$10/'Hail_Site_Inputs'!$B$9</x:f>
        <x:v>0.1944973551585259</x:v>
      </x:c>
      <x:c r="G12" s="28" t="n">
        <x:f>C12*'Hail_Site_Inputs'!$B$21</x:f>
        <x:v>21783703.7777549</x:v>
      </x:c>
      <x:c r="H12" s="30" t="n">
        <x:f>IFERROR(G12/'Hail_Site_Inputs'!$B$21,0)</x:f>
        <x:v>0.935035750668467</x:v>
      </x:c>
    </x:row>
    <x:row r="13">
      <x:c r="A13" s="83" t="n">
        <x:f>'Hail_Hazard_Frequency'!C13</x:f>
        <x:v>1000</x:v>
      </x:c>
      <x:c r="B13" s="83" t="n">
        <x:f>'Hail_Hazard_Frequency'!A13</x:f>
        <x:v>100</x:v>
      </x:c>
      <x:c r="C13" s="30" t="n">
        <x:f>IF('Hail_Site_Inputs'!$B$15="Unstowed",1/(1+EXP(-'Hail_Site_Inputs'!$B$20*(B13-'Hail_Site_Inputs'!$B$19))),IF('Hail_Site_Inputs'!$B$15="Stowed",'Hail_Site_Inputs'!$B$18/(1+EXP(-'Hail_Site_Inputs'!$B$20*(B13-('Hail_Site_Inputs'!$B$19+'Hail_Site_Inputs'!$B$17)))),'Hail_Site_Inputs'!$B$16*('Hail_Site_Inputs'!$B$18/(1+EXP(-'Hail_Site_Inputs'!$B$20*(B13-('Hail_Site_Inputs'!$B$19+'Hail_Site_Inputs'!$B$17)))))+(1-'Hail_Site_Inputs'!$B$16)*(1/(1+EXP(-'Hail_Site_Inputs'!$B$20*(B13-'Hail_Site_Inputs'!$B$19))))))</x:f>
        <x:v>0.9390500817493674</x:v>
      </x:c>
      <x:c r="D13" s="30" t="n">
        <x:f>C13*'Hail_Site_Inputs'!$B$12</x:f>
        <x:v>0.751240065399494</x:v>
      </x:c>
      <x:c r="E13" s="30" t="n">
        <x:f>C13*'Hail_Site_Inputs'!$B$11*'Hail_Site_Inputs'!$B$12*'Hail_Site_Inputs'!$B$13</x:f>
        <x:v>0.24922913549495362</x:v>
      </x:c>
      <x:c r="F13" s="30" t="n">
        <x:f>E13*'Hail_Site_Inputs'!$B$10/'Hail_Site_Inputs'!$B$9</x:f>
        <x:v>0.19533237860806524</x:v>
      </x:c>
      <x:c r="G13" s="28" t="n">
        <x:f>C13*'Hail_Site_Inputs'!$B$21</x:f>
        <x:v>21877226.404103305</x:v>
      </x:c>
      <x:c r="H13" s="30" t="n">
        <x:f>IFERROR(G13/'Hail_Site_Inputs'!$B$21,0)</x:f>
        <x:v>0.9390500817493673</x:v>
      </x:c>
    </x:row>
  </x:sheetData>
  <x:mergeCells>
    <x:mergeCell ref="A1:H1"/>
    <x:mergeCell ref="A2:H2"/>
  </x:mergeCells>
  <x:pageMargins left="0.7" right="0.7" top="0.75" bottom="0.75" header="0.3" footer="0.3"/>
  <x:tableParts count="1">
    <x:tablePart xmlns:r="http://schemas.openxmlformats.org/officeDocument/2006/relationships" r:id="Re1b669c6c6b94948"/>
  </x:tableParts>
</x:worksheet>
</file>

<file path=xl/worksheets/sheet31.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4" hidden="0" customWidth="1"/>
    <x:col min="5" max="5" width="14" hidden="0" customWidth="1"/>
    <x:col min="6" max="6" width="14" hidden="0" customWidth="1"/>
    <x:col min="7" max="7" width="12" hidden="0" customWidth="1"/>
    <x:col min="8" max="8" width="18" hidden="0" customWidth="1"/>
    <x:col min="9" max="9" width="16" hidden="0" customWidth="1"/>
    <x:col min="10" max="10" width="16" hidden="0" customWidth="1"/>
    <x:col min="11" max="11" width="12" hidden="0" customWidth="1"/>
    <x:col min="12" max="12" width="28" hidden="0" customWidth="1"/>
  </x:cols>
  <x:sheetData>
    <x:row r="1" ht="28" customHeight="1">
      <x:c r="A1" s="106" t="str">
        <x:v>Hail × Solar v1.1 — EAL Approximation by MESH Bin</x:v>
      </x:c>
      <x:c r="B1" s="106"/>
      <x:c r="C1" s="106"/>
      <x:c r="D1" s="106"/>
      <x:c r="E1" s="106"/>
      <x:c r="F1" s="106"/>
      <x:c r="G1" s="106"/>
      <x:c r="H1" s="106"/>
      <x:c r="I1" s="106"/>
      <x:c r="J1" s="106"/>
      <x:c r="K1" s="106"/>
      <x:c r="L1" s="106"/>
    </x:row>
    <x:row r="2" ht="28" customHeight="1">
      <x:c r="A2" s="109" t="str">
        <x:v>Discrete integration of the conditioned loss curve against an editable exceedance table. EAL is illustrative until site frequency is replaced with a real source.</x:v>
      </x:c>
      <x:c r="B2" s="109"/>
      <x:c r="C2" s="109"/>
      <x:c r="D2" s="109"/>
      <x:c r="E2" s="109"/>
      <x:c r="F2" s="109"/>
      <x:c r="G2" s="109"/>
      <x:c r="H2" s="109"/>
      <x:c r="I2" s="109"/>
      <x:c r="J2" s="109"/>
      <x:c r="K2" s="109"/>
      <x:c r="L2" s="109"/>
    </x:row>
    <x:row r="4">
      <x:c r="A4" s="114" t="str">
        <x:v>bin_id</x:v>
      </x:c>
      <x:c r="B4" s="114" t="str">
        <x:v>D_low_mm</x:v>
      </x:c>
      <x:c r="C4" s="114" t="str">
        <x:v>D_high_mm</x:v>
      </x:c>
      <x:c r="D4" s="114" t="str">
        <x:v>lambda_low</x:v>
      </x:c>
      <x:c r="E4" s="114" t="str">
        <x:v>lambda_high</x:v>
      </x:c>
      <x:c r="F4" s="114" t="str">
        <x:v>bin_frequency</x:v>
      </x:c>
      <x:c r="G4" s="114" t="str">
        <x:v>D_mid_mm</x:v>
      </x:c>
      <x:c r="H4" s="114" t="str">
        <x:v>conditioned_DR_mid</x:v>
      </x:c>
      <x:c r="I4" s="114" t="str">
        <x:v>loss_USD_mid</x:v>
      </x:c>
      <x:c r="J4" s="114" t="str">
        <x:v>EAL_USD</x:v>
      </x:c>
      <x:c r="K4" s="114" t="str">
        <x:v>EAL_share</x:v>
      </x:c>
      <x:c r="L4" s="114" t="str">
        <x:v>notes</x:v>
      </x:c>
    </x:row>
    <x:row r="5">
      <x:c r="A5" t="str">
        <x:v>25–35</x:v>
      </x:c>
      <x:c r="B5" s="83" t="n">
        <x:f>'Hail_Hazard_Frequency'!A5</x:f>
        <x:v>25</x:v>
      </x:c>
      <x:c r="C5" s="83" t="n">
        <x:f>'Hail_Hazard_Frequency'!A6</x:f>
        <x:v>35</x:v>
      </x:c>
      <x:c r="D5" s="131" t="n">
        <x:f>'Hail_Hazard_Frequency'!D5</x:f>
        <x:v>0.2</x:v>
      </x:c>
      <x:c r="E5" s="131" t="n">
        <x:f>'Hail_Hazard_Frequency'!D6</x:f>
        <x:v>0.1</x:v>
      </x:c>
      <x:c r="F5" s="131" t="n">
        <x:f>MAX(D5-E5,0)</x:f>
        <x:v>0.1</x:v>
      </x:c>
      <x:c r="G5" s="132" t="n">
        <x:f>(B5+C5)/2</x:f>
        <x:v>30</x:v>
      </x:c>
      <x:c r="H5" s="30" t="n">
        <x:f>IF('Hail_Site_Inputs'!$B$15="Unstowed",1/(1+EXP(-'Hail_Site_Inputs'!$B$20*(G5-'Hail_Site_Inputs'!$B$19))),IF('Hail_Site_Inputs'!$B$15="Stowed",'Hail_Site_Inputs'!$B$18/(1+EXP(-'Hail_Site_Inputs'!$B$20*(G5-('Hail_Site_Inputs'!$B$19+'Hail_Site_Inputs'!$B$17)))),'Hail_Site_Inputs'!$B$16*('Hail_Site_Inputs'!$B$18/(1+EXP(-'Hail_Site_Inputs'!$B$20*(G5-('Hail_Site_Inputs'!$B$19+'Hail_Site_Inputs'!$B$17)))))+(1-'Hail_Site_Inputs'!$B$16)*(1/(1+EXP(-'Hail_Site_Inputs'!$B$20*(G5-'Hail_Site_Inputs'!$B$19))))))</x:f>
        <x:v>0.012347877984125967</x:v>
      </x:c>
      <x:c r="I5" s="28" t="n">
        <x:f>H5*'Hail_Site_Inputs'!$B$21</x:f>
        <x:v>287670.836219645</x:v>
      </x:c>
      <x:c r="J5" s="28" t="n">
        <x:f>F5*I5</x:f>
        <x:v>28767.0836219645</x:v>
      </x:c>
      <x:c r="K5" s="30" t="n">
        <x:f>IFERROR(J5/$J$15,0)</x:f>
        <x:v>0.058937765429981914</x:v>
      </x:c>
      <x:c r="L5" t="str">
        <x:v>finite bin</x:v>
      </x:c>
    </x:row>
    <x:row r="6">
      <x:c r="A6" t="str">
        <x:v>35–45</x:v>
      </x:c>
      <x:c r="B6" s="83" t="n">
        <x:f>'Hail_Hazard_Frequency'!A6</x:f>
        <x:v>35</x:v>
      </x:c>
      <x:c r="C6" s="83" t="n">
        <x:f>'Hail_Hazard_Frequency'!A7</x:f>
        <x:v>45</x:v>
      </x:c>
      <x:c r="D6" s="131" t="n">
        <x:f>'Hail_Hazard_Frequency'!D6</x:f>
        <x:v>0.1</x:v>
      </x:c>
      <x:c r="E6" s="131" t="n">
        <x:f>'Hail_Hazard_Frequency'!D7</x:f>
        <x:v>0.04</x:v>
      </x:c>
      <x:c r="F6" s="131" t="n">
        <x:f>MAX(D6-E6,0)</x:f>
        <x:v>0.060000000000000005</x:v>
      </x:c>
      <x:c r="G6" s="132" t="n">
        <x:f>(B6+C6)/2</x:f>
        <x:v>40</x:v>
      </x:c>
      <x:c r="H6" s="30" t="n">
        <x:f>IF('Hail_Site_Inputs'!$B$15="Unstowed",1/(1+EXP(-'Hail_Site_Inputs'!$B$20*(G6-'Hail_Site_Inputs'!$B$19))),IF('Hail_Site_Inputs'!$B$15="Stowed",'Hail_Site_Inputs'!$B$18/(1+EXP(-'Hail_Site_Inputs'!$B$20*(G6-('Hail_Site_Inputs'!$B$19+'Hail_Site_Inputs'!$B$17)))),'Hail_Site_Inputs'!$B$16*('Hail_Site_Inputs'!$B$18/(1+EXP(-'Hail_Site_Inputs'!$B$20*(G6-('Hail_Site_Inputs'!$B$19+'Hail_Site_Inputs'!$B$17)))))+(1-'Hail_Site_Inputs'!$B$16)*(1/(1+EXP(-'Hail_Site_Inputs'!$B$20*(G6-'Hail_Site_Inputs'!$B$19))))))</x:f>
        <x:v>0.06026831190751969</x:v>
      </x:c>
      <x:c r="I6" s="28" t="n">
        <x:f>H6*'Hail_Site_Inputs'!$B$21</x:f>
        <x:v>1404082.199894672</x:v>
      </x:c>
      <x:c r="J6" s="28" t="n">
        <x:f>F6*I6</x:f>
        <x:v>84244.93199368032</x:v>
      </x:c>
      <x:c r="K6" s="30" t="n">
        <x:f>IFERROR(J6/$J$15,0)</x:f>
        <x:v>0.17260032701810724</x:v>
      </x:c>
      <x:c r="L6" t="str">
        <x:v>finite bin</x:v>
      </x:c>
    </x:row>
    <x:row r="7">
      <x:c r="A7" t="str">
        <x:v>45–50</x:v>
      </x:c>
      <x:c r="B7" s="83" t="n">
        <x:f>'Hail_Hazard_Frequency'!A7</x:f>
        <x:v>45</x:v>
      </x:c>
      <x:c r="C7" s="83" t="n">
        <x:f>'Hail_Hazard_Frequency'!A8</x:f>
        <x:v>50</x:v>
      </x:c>
      <x:c r="D7" s="131" t="n">
        <x:f>'Hail_Hazard_Frequency'!D7</x:f>
        <x:v>0.04</x:v>
      </x:c>
      <x:c r="E7" s="131" t="n">
        <x:f>'Hail_Hazard_Frequency'!D8</x:f>
        <x:v>0.02</x:v>
      </x:c>
      <x:c r="F7" s="131" t="n">
        <x:f>MAX(D7-E7,0)</x:f>
        <x:v>0.02</x:v>
      </x:c>
      <x:c r="G7" s="132" t="n">
        <x:f>(B7+C7)/2</x:f>
        <x:v>47.5</x:v>
      </x:c>
      <x:c r="H7" s="30" t="n">
        <x:f>IF('Hail_Site_Inputs'!$B$15="Unstowed",1/(1+EXP(-'Hail_Site_Inputs'!$B$20*(G7-'Hail_Site_Inputs'!$B$19))),IF('Hail_Site_Inputs'!$B$15="Stowed",'Hail_Site_Inputs'!$B$18/(1+EXP(-'Hail_Site_Inputs'!$B$20*(G7-('Hail_Site_Inputs'!$B$19+'Hail_Site_Inputs'!$B$17)))),'Hail_Site_Inputs'!$B$16*('Hail_Site_Inputs'!$B$18/(1+EXP(-'Hail_Site_Inputs'!$B$20*(G7-('Hail_Site_Inputs'!$B$19+'Hail_Site_Inputs'!$B$17)))))+(1-'Hail_Site_Inputs'!$B$16)*(1/(1+EXP(-'Hail_Site_Inputs'!$B$20*(G7-'Hail_Site_Inputs'!$B$19))))))</x:f>
        <x:v>0.1731427848509276</x:v>
      </x:c>
      <x:c r="I7" s="28" t="n">
        <x:f>H7*'Hail_Site_Inputs'!$B$21</x:f>
        <x:v>4033740.02946062</x:v>
      </x:c>
      <x:c r="J7" s="28" t="n">
        <x:f>F7*I7</x:f>
        <x:v>80674.8005892124</x:v>
      </x:c>
      <x:c r="K7" s="30" t="n">
        <x:f>IFERROR(J7/$J$15,0)</x:f>
        <x:v>0.16528587102264153</x:v>
      </x:c>
      <x:c r="L7" t="str">
        <x:v>finite bin</x:v>
      </x:c>
    </x:row>
    <x:row r="8">
      <x:c r="A8" t="str">
        <x:v>50–55</x:v>
      </x:c>
      <x:c r="B8" s="83" t="n">
        <x:f>'Hail_Hazard_Frequency'!A8</x:f>
        <x:v>50</x:v>
      </x:c>
      <x:c r="C8" s="83" t="n">
        <x:f>'Hail_Hazard_Frequency'!A9</x:f>
        <x:v>55</x:v>
      </x:c>
      <x:c r="D8" s="131" t="n">
        <x:f>'Hail_Hazard_Frequency'!D8</x:f>
        <x:v>0.02</x:v>
      </x:c>
      <x:c r="E8" s="131" t="n">
        <x:f>'Hail_Hazard_Frequency'!D9</x:f>
        <x:v>0.013333333333333334</x:v>
      </x:c>
      <x:c r="F8" s="131" t="n">
        <x:f>MAX(D8-E8,0)</x:f>
        <x:v>0.006666666666666666</x:v>
      </x:c>
      <x:c r="G8" s="132" t="n">
        <x:f>(B8+C8)/2</x:f>
        <x:v>52.5</x:v>
      </x:c>
      <x:c r="H8" s="30" t="n">
        <x:f>IF('Hail_Site_Inputs'!$B$15="Unstowed",1/(1+EXP(-'Hail_Site_Inputs'!$B$20*(G8-'Hail_Site_Inputs'!$B$19))),IF('Hail_Site_Inputs'!$B$15="Stowed",'Hail_Site_Inputs'!$B$18/(1+EXP(-'Hail_Site_Inputs'!$B$20*(G8-('Hail_Site_Inputs'!$B$19+'Hail_Site_Inputs'!$B$17)))),'Hail_Site_Inputs'!$B$16*('Hail_Site_Inputs'!$B$18/(1+EXP(-'Hail_Site_Inputs'!$B$20*(G8-('Hail_Site_Inputs'!$B$19+'Hail_Site_Inputs'!$B$17)))))+(1-'Hail_Site_Inputs'!$B$16)*(1/(1+EXP(-'Hail_Site_Inputs'!$B$20*(G8-'Hail_Site_Inputs'!$B$19))))))</x:f>
        <x:v>0.30705183430565997</x:v>
      </x:c>
      <x:c r="I8" s="28" t="n">
        <x:f>H8*'Hail_Site_Inputs'!$B$21</x:f>
        <x:v>7153444.344934335</x:v>
      </x:c>
      <x:c r="J8" s="28" t="n">
        <x:f>F8*I8</x:f>
        <x:v>47689.6289662289</x:v>
      </x:c>
      <x:c r="K8" s="30" t="n">
        <x:f>IFERROR(J8/$J$15,0)</x:f>
        <x:v>0.09770612142651831</x:v>
      </x:c>
      <x:c r="L8" t="str">
        <x:v>finite bin</x:v>
      </x:c>
    </x:row>
    <x:row r="9">
      <x:c r="A9" t="str">
        <x:v>55–65</x:v>
      </x:c>
      <x:c r="B9" s="83" t="n">
        <x:f>'Hail_Hazard_Frequency'!A9</x:f>
        <x:v>55</x:v>
      </x:c>
      <x:c r="C9" s="83" t="n">
        <x:f>'Hail_Hazard_Frequency'!A10</x:f>
        <x:v>65</x:v>
      </x:c>
      <x:c r="D9" s="131" t="n">
        <x:f>'Hail_Hazard_Frequency'!D9</x:f>
        <x:v>0.013333333333333334</x:v>
      </x:c>
      <x:c r="E9" s="131" t="n">
        <x:f>'Hail_Hazard_Frequency'!D10</x:f>
        <x:v>0.01</x:v>
      </x:c>
      <x:c r="F9" s="131" t="n">
        <x:f>MAX(D9-E9,0)</x:f>
        <x:v>0.003333333333333334</x:v>
      </x:c>
      <x:c r="G9" s="132" t="n">
        <x:f>(B9+C9)/2</x:f>
        <x:v>60</x:v>
      </x:c>
      <x:c r="H9" s="30" t="n">
        <x:f>IF('Hail_Site_Inputs'!$B$15="Unstowed",1/(1+EXP(-'Hail_Site_Inputs'!$B$20*(G9-'Hail_Site_Inputs'!$B$19))),IF('Hail_Site_Inputs'!$B$15="Stowed",'Hail_Site_Inputs'!$B$18/(1+EXP(-'Hail_Site_Inputs'!$B$20*(G9-('Hail_Site_Inputs'!$B$19+'Hail_Site_Inputs'!$B$17)))),'Hail_Site_Inputs'!$B$16*('Hail_Site_Inputs'!$B$18/(1+EXP(-'Hail_Site_Inputs'!$B$20*(G9-('Hail_Site_Inputs'!$B$19+'Hail_Site_Inputs'!$B$17)))))+(1-'Hail_Site_Inputs'!$B$16)*(1/(1+EXP(-'Hail_Site_Inputs'!$B$20*(G9-'Hail_Site_Inputs'!$B$19))))))</x:f>
        <x:v>0.5626741577426797</x:v>
      </x:c>
      <x:c r="I9" s="28" t="n">
        <x:f>H9*'Hail_Site_Inputs'!$B$21</x:f>
        <x:v>13108725.700489545</x:v>
      </x:c>
      <x:c r="J9" s="28" t="n">
        <x:f>F9*I9</x:f>
        <x:v>43695.75233496516</x:v>
      </x:c>
      <x:c r="K9" s="30" t="n">
        <x:f>IFERROR(J9/$J$15,0)</x:f>
        <x:v>0.08952349967928004</x:v>
      </x:c>
      <x:c r="L9" t="str">
        <x:v>finite bin</x:v>
      </x:c>
    </x:row>
    <x:row r="10">
      <x:c r="A10" t="str">
        <x:v>65–76</x:v>
      </x:c>
      <x:c r="B10" s="83" t="n">
        <x:f>'Hail_Hazard_Frequency'!A10</x:f>
        <x:v>65</x:v>
      </x:c>
      <x:c r="C10" s="83" t="n">
        <x:f>'Hail_Hazard_Frequency'!A11</x:f>
        <x:v>76</x:v>
      </x:c>
      <x:c r="D10" s="131" t="n">
        <x:f>'Hail_Hazard_Frequency'!D10</x:f>
        <x:v>0.01</x:v>
      </x:c>
      <x:c r="E10" s="131" t="n">
        <x:f>'Hail_Hazard_Frequency'!D11</x:f>
        <x:v>0.004</x:v>
      </x:c>
      <x:c r="F10" s="131" t="n">
        <x:f>MAX(D10-E10,0)</x:f>
        <x:v>0.006</x:v>
      </x:c>
      <x:c r="G10" s="132" t="n">
        <x:f>(B10+C10)/2</x:f>
        <x:v>70.5</x:v>
      </x:c>
      <x:c r="H10" s="30" t="n">
        <x:f>IF('Hail_Site_Inputs'!$B$15="Unstowed",1/(1+EXP(-'Hail_Site_Inputs'!$B$20*(G10-'Hail_Site_Inputs'!$B$19))),IF('Hail_Site_Inputs'!$B$15="Stowed",'Hail_Site_Inputs'!$B$18/(1+EXP(-'Hail_Site_Inputs'!$B$20*(G10-('Hail_Site_Inputs'!$B$19+'Hail_Site_Inputs'!$B$17)))),'Hail_Site_Inputs'!$B$16*('Hail_Site_Inputs'!$B$18/(1+EXP(-'Hail_Site_Inputs'!$B$20*(G10-('Hail_Site_Inputs'!$B$19+'Hail_Site_Inputs'!$B$17)))))+(1-'Hail_Site_Inputs'!$B$16)*(1/(1+EXP(-'Hail_Site_Inputs'!$B$20*(G10-'Hail_Site_Inputs'!$B$19))))))</x:f>
        <x:v>0.8314579891914331</x:v>
      </x:c>
      <x:c r="I10" s="28" t="n">
        <x:f>H10*'Hail_Site_Inputs'!$B$21</x:f>
        <x:v>19370633.184073746</x:v>
      </x:c>
      <x:c r="J10" s="28" t="n">
        <x:f>F10*I10</x:f>
        <x:v>116223.79910444249</x:v>
      </x:c>
      <x:c r="K10" s="30" t="n">
        <x:f>IFERROR(J10/$J$15,0)</x:f>
        <x:v>0.2381183681674573</x:v>
      </x:c>
      <x:c r="L10" t="str">
        <x:v>finite bin</x:v>
      </x:c>
    </x:row>
    <x:row r="11">
      <x:c r="A11" t="str">
        <x:v>76–90</x:v>
      </x:c>
      <x:c r="B11" s="83" t="n">
        <x:f>'Hail_Hazard_Frequency'!A11</x:f>
        <x:v>76</x:v>
      </x:c>
      <x:c r="C11" s="83" t="n">
        <x:f>'Hail_Hazard_Frequency'!A12</x:f>
        <x:v>90</x:v>
      </x:c>
      <x:c r="D11" s="131" t="n">
        <x:f>'Hail_Hazard_Frequency'!D11</x:f>
        <x:v>0.004</x:v>
      </x:c>
      <x:c r="E11" s="131" t="n">
        <x:f>'Hail_Hazard_Frequency'!D12</x:f>
        <x:v>0.002</x:v>
      </x:c>
      <x:c r="F11" s="131" t="n">
        <x:f>MAX(D11-E11,0)</x:f>
        <x:v>0.002</x:v>
      </x:c>
      <x:c r="G11" s="132" t="n">
        <x:f>(B11+C11)/2</x:f>
        <x:v>83</x:v>
      </x:c>
      <x:c r="H11" s="30" t="n">
        <x:f>IF('Hail_Site_Inputs'!$B$15="Unstowed",1/(1+EXP(-'Hail_Site_Inputs'!$B$20*(G11-'Hail_Site_Inputs'!$B$19))),IF('Hail_Site_Inputs'!$B$15="Stowed",'Hail_Site_Inputs'!$B$18/(1+EXP(-'Hail_Site_Inputs'!$B$20*(G11-('Hail_Site_Inputs'!$B$19+'Hail_Site_Inputs'!$B$17)))),'Hail_Site_Inputs'!$B$16*('Hail_Site_Inputs'!$B$18/(1+EXP(-'Hail_Site_Inputs'!$B$20*(G11-('Hail_Site_Inputs'!$B$19+'Hail_Site_Inputs'!$B$17)))))+(1-'Hail_Site_Inputs'!$B$16)*(1/(1+EXP(-'Hail_Site_Inputs'!$B$20*(G11-'Hail_Site_Inputs'!$B$19))))))</x:f>
        <x:v>0.9243734711536821</x:v>
      </x:c>
      <x:c r="I11" s="28" t="n">
        <x:f>H11*'Hail_Site_Inputs'!$B$21</x:f>
        <x:v>21535302.646162175</x:v>
      </x:c>
      <x:c r="J11" s="28" t="n">
        <x:f>F11*I11</x:f>
        <x:v>43070.60529232435</x:v>
      </x:c>
      <x:c r="K11" s="30" t="n">
        <x:f>IFERROR(J11/$J$15,0)</x:f>
        <x:v>0.08824270353593101</x:v>
      </x:c>
      <x:c r="L11" t="str">
        <x:v>finite bin</x:v>
      </x:c>
    </x:row>
    <x:row r="12">
      <x:c r="A12" t="str">
        <x:v>90–100</x:v>
      </x:c>
      <x:c r="B12" s="83" t="n">
        <x:f>'Hail_Hazard_Frequency'!A12</x:f>
        <x:v>90</x:v>
      </x:c>
      <x:c r="C12" s="83" t="n">
        <x:f>'Hail_Hazard_Frequency'!A13</x:f>
        <x:v>100</x:v>
      </x:c>
      <x:c r="D12" s="131" t="n">
        <x:f>'Hail_Hazard_Frequency'!D12</x:f>
        <x:v>0.002</x:v>
      </x:c>
      <x:c r="E12" s="131" t="n">
        <x:f>'Hail_Hazard_Frequency'!D13</x:f>
        <x:v>0.001</x:v>
      </x:c>
      <x:c r="F12" s="131" t="n">
        <x:f>MAX(D12-E12,0)</x:f>
        <x:v>0.001</x:v>
      </x:c>
      <x:c r="G12" s="132" t="n">
        <x:f>(B12+C12)/2</x:f>
        <x:v>95</x:v>
      </x:c>
      <x:c r="H12" s="30" t="n">
        <x:f>IF('Hail_Site_Inputs'!$B$15="Unstowed",1/(1+EXP(-'Hail_Site_Inputs'!$B$20*(G12-'Hail_Site_Inputs'!$B$19))),IF('Hail_Site_Inputs'!$B$15="Stowed",'Hail_Site_Inputs'!$B$18/(1+EXP(-'Hail_Site_Inputs'!$B$20*(G12-('Hail_Site_Inputs'!$B$19+'Hail_Site_Inputs'!$B$17)))),'Hail_Site_Inputs'!$B$16*('Hail_Site_Inputs'!$B$18/(1+EXP(-'Hail_Site_Inputs'!$B$20*(G12-('Hail_Site_Inputs'!$B$19+'Hail_Site_Inputs'!$B$17)))))+(1-'Hail_Site_Inputs'!$B$16)*(1/(1+EXP(-'Hail_Site_Inputs'!$B$20*(G12-'Hail_Site_Inputs'!$B$19))))))</x:f>
        <x:v>0.9378261203789938</x:v>
      </x:c>
      <x:c r="I12" s="28" t="n">
        <x:f>H12*'Hail_Site_Inputs'!$B$21</x:f>
        <x:v>21848711.54581198</x:v>
      </x:c>
      <x:c r="J12" s="28" t="n">
        <x:f>F12*I12</x:f>
        <x:v>21848.71154581198</x:v>
      </x:c>
      <x:c r="K12" s="30" t="n">
        <x:f>IFERROR(J12/$J$15,0)</x:f>
        <x:v>0.04476346135592268</x:v>
      </x:c>
      <x:c r="L12" t="str">
        <x:v>finite bin</x:v>
      </x:c>
    </x:row>
    <x:row r="13">
      <x:c r="A13" t="str">
        <x:v>100+</x:v>
      </x:c>
      <x:c r="B13" s="83" t="n">
        <x:f>'Hail_Hazard_Frequency'!A13</x:f>
        <x:v>100</x:v>
      </x:c>
      <x:c r="C13" s="83"/>
      <x:c r="D13" s="131" t="n">
        <x:f>'Hail_Hazard_Frequency'!D13</x:f>
        <x:v>0.001</x:v>
      </x:c>
      <x:c r="E13" s="131" t="n">
        <x:v>0</x:v>
      </x:c>
      <x:c r="F13" s="131" t="n">
        <x:f>MAX(D13-E13,0)</x:f>
        <x:v>0.001</x:v>
      </x:c>
      <x:c r="G13" s="132" t="n">
        <x:f>B13</x:f>
        <x:v>100</x:v>
      </x:c>
      <x:c r="H13" s="30" t="n">
        <x:f>IF('Hail_Site_Inputs'!$B$15="Unstowed",1/(1+EXP(-'Hail_Site_Inputs'!$B$20*(G13-'Hail_Site_Inputs'!$B$19))),IF('Hail_Site_Inputs'!$B$15="Stowed",'Hail_Site_Inputs'!$B$18/(1+EXP(-'Hail_Site_Inputs'!$B$20*(G13-('Hail_Site_Inputs'!$B$19+'Hail_Site_Inputs'!$B$17)))),'Hail_Site_Inputs'!$B$16*('Hail_Site_Inputs'!$B$18/(1+EXP(-'Hail_Site_Inputs'!$B$20*(G13-('Hail_Site_Inputs'!$B$19+'Hail_Site_Inputs'!$B$17)))))+(1-'Hail_Site_Inputs'!$B$16)*(1/(1+EXP(-'Hail_Site_Inputs'!$B$20*(G13-'Hail_Site_Inputs'!$B$19))))))</x:f>
        <x:v>0.9390500817493674</x:v>
      </x:c>
      <x:c r="I13" s="28" t="n">
        <x:f>H13*'Hail_Site_Inputs'!$B$21</x:f>
        <x:v>21877226.404103305</x:v>
      </x:c>
      <x:c r="J13" s="28" t="n">
        <x:f>F13*I13</x:f>
        <x:v>21877.226404103305</x:v>
      </x:c>
      <x:c r="K13" s="30" t="n">
        <x:f>IFERROR(J13/$J$15,0)</x:f>
        <x:v>0.04482188236416003</x:v>
      </x:c>
      <x:c r="L13" t="str">
        <x:v>placeholder tail at last threshold</x:v>
      </x:c>
    </x:row>
    <x:row r="14">
      <x:c r="I14" s="28"/>
      <x:c r="J14" s="28"/>
    </x:row>
    <x:row r="15">
      <x:c r="I15" s="133" t="str">
        <x:v>Total EAL</x:v>
      </x:c>
      <x:c r="J15" s="133" t="n">
        <x:f>SUM(J5:J13)</x:f>
        <x:v>488092.5398527334</x:v>
      </x:c>
      <x:c r="K15" s="130"/>
      <x:c r="L15" s="130"/>
    </x:row>
    <x:row r="16">
      <x:c r="I16" s="130" t="str">
        <x:v>EAL as % TIV</x:v>
      </x:c>
      <x:c r="J16" s="134" t="n">
        <x:f>J15/'Hail_Site_Inputs'!$B$9</x:f>
        <x:v>0.004357969105827976</x:v>
      </x:c>
      <x:c r="K16" s="130"/>
      <x:c r="L16" s="130"/>
    </x:row>
    <x:row r="17">
      <x:c r="I17" s="130" t="str">
        <x:v>EAL as % physical base</x:v>
      </x:c>
      <x:c r="J17" s="134" t="n">
        <x:f>J15/'Hail_Site_Inputs'!$B$10</x:f>
        <x:v>0.005560434376005579</x:v>
      </x:c>
      <x:c r="K17" s="130"/>
      <x:c r="L17" s="130"/>
    </x:row>
    <x:row r="18">
      <x:c r="I18" s="130" t="str">
        <x:v>Frequency status</x:v>
      </x:c>
      <x:c r="J18" s="130" t="str">
        <x:f>'Hail_Site_Inputs'!$B$24</x:f>
        <x:v>Illustrative editable AEP table</x:v>
      </x:c>
      <x:c r="K18" s="130"/>
      <x:c r="L18" s="130"/>
    </x:row>
  </x:sheetData>
  <x:mergeCells>
    <x:mergeCell ref="A1:L1"/>
    <x:mergeCell ref="A2:L2"/>
  </x:mergeCells>
  <x:pageMargins left="0.7" right="0.7" top="0.75" bottom="0.75" header="0.3" footer="0.3"/>
  <x:tableParts count="1">
    <x:tablePart xmlns:r="http://schemas.openxmlformats.org/officeDocument/2006/relationships" r:id="R5c274be8276b4b54"/>
  </x:tableParts>
</x:worksheet>
</file>

<file path=xl/worksheets/sheet32.xml><?xml version="1.0" encoding="utf-8"?>
<x:worksheet xmlns:x="http://schemas.openxmlformats.org/spreadsheetml/2006/main">
  <x:sheetFormatPr defaultRowHeight="15"/>
  <x:cols>
    <x:col min="1" max="1" width="22" hidden="0" customWidth="1"/>
    <x:col min="2" max="2" width="12" hidden="0" customWidth="1"/>
    <x:col min="3" max="3" width="12" hidden="0" customWidth="1"/>
    <x:col min="4" max="4" width="10" hidden="0" customWidth="1"/>
    <x:col min="5" max="5" width="12" hidden="0" customWidth="1"/>
    <x:col min="6" max="6" width="14" hidden="0" customWidth="1"/>
    <x:col min="7" max="7" width="14" hidden="0" customWidth="1"/>
    <x:col min="8" max="8" width="14" hidden="0" customWidth="1"/>
    <x:col min="9" max="9" width="14" hidden="0" customWidth="1"/>
    <x:col min="10" max="10" width="14" hidden="0" customWidth="1"/>
    <x:col min="11" max="11" width="16" hidden="0" customWidth="1"/>
    <x:col min="12" max="12" width="36" hidden="0" customWidth="1"/>
  </x:cols>
  <x:sheetData>
    <x:row r="1" ht="28" customHeight="1">
      <x:c r="A1" s="106" t="str">
        <x:v>Hail × Solar v1.1 — Scenario Sensitivity</x:v>
      </x:c>
      <x:c r="B1" s="106"/>
      <x:c r="C1" s="106"/>
      <x:c r="D1" s="106"/>
      <x:c r="E1" s="106"/>
      <x:c r="F1" s="106"/>
      <x:c r="G1" s="106"/>
      <x:c r="H1" s="106"/>
      <x:c r="I1" s="106"/>
      <x:c r="J1" s="106"/>
      <x:c r="K1" s="106"/>
      <x:c r="L1" s="106"/>
    </x:row>
    <x:row r="2" ht="28" customHeight="1">
      <x:c r="A2" s="109" t="str">
        <x:v>Shows which assumptions move the site-conditioned loss most. Rows are editable scenario snapshots; formulas report %TIV and loss at 50mm and 65mm MESH.</x:v>
      </x:c>
      <x:c r="B2" s="109"/>
      <x:c r="C2" s="109"/>
      <x:c r="D2" s="109"/>
      <x:c r="E2" s="109"/>
      <x:c r="F2" s="109"/>
      <x:c r="G2" s="109"/>
      <x:c r="H2" s="109"/>
      <x:c r="I2" s="109"/>
      <x:c r="J2" s="109"/>
      <x:c r="K2" s="109"/>
      <x:c r="L2" s="109"/>
    </x:row>
    <x:row r="4">
      <x:c r="A4" s="114" t="str">
        <x:v>scenario</x:v>
      </x:c>
      <x:c r="B4" s="114" t="str">
        <x:v>D50_mm</x:v>
      </x:c>
      <x:c r="C4" s="114" t="str">
        <x:v>k_1_per_mm</x:v>
      </x:c>
      <x:c r="D4" s="114" t="str">
        <x:v>f_hail</x:v>
      </x:c>
      <x:c r="E4" s="114" t="str">
        <x:v>P_stowed</x:v>
      </x:c>
      <x:c r="F4" s="114" t="str">
        <x:v>exposure_fraction</x:v>
      </x:c>
      <x:c r="G4" s="114" t="str">
        <x:v>stow_shift_mm</x:v>
      </x:c>
      <x:c r="H4" s="114" t="str">
        <x:v>stowed_max_mult</x:v>
      </x:c>
      <x:c r="I4" s="114" t="str">
        <x:v>%TIV_at_50mm</x:v>
      </x:c>
      <x:c r="J4" s="114" t="str">
        <x:v>%TIV_at_65mm</x:v>
      </x:c>
      <x:c r="K4" s="114" t="str">
        <x:v>loss_at_50_USD</x:v>
      </x:c>
      <x:c r="L4" s="114" t="str">
        <x:v>notes</x:v>
      </x:c>
    </x:row>
    <x:row r="5">
      <x:c r="A5" t="str">
        <x:v>Base</x:v>
      </x:c>
      <x:c r="B5" s="100" t="n">
        <x:f>'Hail_Site_Inputs'!$B$19</x:f>
        <x:v>52.69607620290103</x:v>
      </x:c>
      <x:c r="C5" s="100" t="n">
        <x:f>'Hail_Site_Inputs'!$B$20</x:f>
        <x:v>0.1659123052836369</x:v>
      </x:c>
      <x:c r="D5" s="30" t="n">
        <x:f>'Hail_Site_Inputs'!$B$12</x:f>
        <x:v>0.8</x:v>
      </x:c>
      <x:c r="E5" s="30" t="n">
        <x:f>'Hail_Site_Inputs'!$B$16</x:f>
        <x:v>0.6</x:v>
      </x:c>
      <x:c r="F5" s="30" t="n">
        <x:f>'Hail_Site_Inputs'!$B$13</x:f>
        <x:v>1</x:v>
      </x:c>
      <x:c r="G5" s="100" t="n">
        <x:f>'Hail_Site_Inputs'!$B$17</x:f>
        <x:v>8</x:v>
      </x:c>
      <x:c r="H5" s="100" t="n">
        <x:f>'Hail_Site_Inputs'!$B$18</x:f>
        <x:v>0.9</x:v>
      </x:c>
      <x:c r="I5" s="30" t="n">
        <x:f>(($E5*($H5/(1+EXP(-$C5*(50-($B5+$G5)))))+(1-$E5)*(1/(1+EXP(-$C5*(50-$B5)))))*'Hail_Site_Inputs'!$B$11*$D5*$F5*'Hail_Site_Inputs'!$B$10/'Hail_Site_Inputs'!$B$9)</x:f>
        <x:v>0.04873350279175065</x:v>
      </x:c>
      <x:c r="J5" s="30" t="n">
        <x:f>(($E5*($H5/(1+EXP(-$C5*(65-($B5+$G5)))))+(1-$E5)*(1/(1+EXP(-$C5*(65-$B5)))))*'Hail_Site_Inputs'!$B$11*$D5*$F5*'Hail_Site_Inputs'!$B$10/'Hail_Site_Inputs'!$B$9)</x:f>
        <x:v>0.14904616643597987</x:v>
      </x:c>
      <x:c r="K5" s="28" t="n">
        <x:f>I5*'Hail_Site_Inputs'!$B$9</x:f>
        <x:v>5458152.312676073</x:v>
      </x:c>
      <x:c r="L5" t="str">
        <x:v>Current site inputs.</x:v>
      </x:c>
    </x:row>
    <x:row r="6">
      <x:c r="A6" t="str">
        <x:v>Low f_hail</x:v>
      </x:c>
      <x:c r="B6" s="100" t="n">
        <x:f>'Hail_Site_Inputs'!$B$19</x:f>
        <x:v>52.69607620290103</x:v>
      </x:c>
      <x:c r="C6" s="100" t="n">
        <x:f>'Hail_Site_Inputs'!$B$20</x:f>
        <x:v>0.1659123052836369</x:v>
      </x:c>
      <x:c r="D6" s="30" t="n">
        <x:v>0.55</x:v>
      </x:c>
      <x:c r="E6" s="30" t="n">
        <x:f>'Hail_Site_Inputs'!$B$16</x:f>
        <x:v>0.6</x:v>
      </x:c>
      <x:c r="F6" s="30" t="n">
        <x:f>'Hail_Site_Inputs'!$B$13</x:f>
        <x:v>1</x:v>
      </x:c>
      <x:c r="G6" s="100" t="n">
        <x:f>'Hail_Site_Inputs'!$B$17</x:f>
        <x:v>8</x:v>
      </x:c>
      <x:c r="H6" s="100" t="n">
        <x:f>'Hail_Site_Inputs'!$B$18</x:f>
        <x:v>0.9</x:v>
      </x:c>
      <x:c r="I6" s="30" t="n">
        <x:f>(($E6*($H6/(1+EXP(-$C6*(50-($B6+$G6)))))+(1-$E6)*(1/(1+EXP(-$C6*(50-$B6)))))*'Hail_Site_Inputs'!$B$11*$D6*$F6*'Hail_Site_Inputs'!$B$10/'Hail_Site_Inputs'!$B$9)</x:f>
        <x:v>0.033504283169328575</x:v>
      </x:c>
      <x:c r="J6" s="30" t="n">
        <x:f>(($E6*($H6/(1+EXP(-$C6*(65-($B6+$G6)))))+(1-$E6)*(1/(1+EXP(-$C6*(65-$B6)))))*'Hail_Site_Inputs'!$B$11*$D6*$F6*'Hail_Site_Inputs'!$B$10/'Hail_Site_Inputs'!$B$9)</x:f>
        <x:v>0.10246923942473617</x:v>
      </x:c>
      <x:c r="K6" s="28" t="n">
        <x:f>I6*'Hail_Site_Inputs'!$B$9</x:f>
        <x:v>3752479.7149648005</x:v>
      </x:c>
      <x:c r="L6" t="str">
        <x:v>Lower exposed material-share cap.</x:v>
      </x:c>
    </x:row>
    <x:row r="7">
      <x:c r="A7" t="str">
        <x:v>High f_hail</x:v>
      </x:c>
      <x:c r="B7" s="100" t="n">
        <x:f>'Hail_Site_Inputs'!$B$19</x:f>
        <x:v>52.69607620290103</x:v>
      </x:c>
      <x:c r="C7" s="100" t="n">
        <x:f>'Hail_Site_Inputs'!$B$20</x:f>
        <x:v>0.1659123052836369</x:v>
      </x:c>
      <x:c r="D7" s="30" t="n">
        <x:v>0.9</x:v>
      </x:c>
      <x:c r="E7" s="30" t="n">
        <x:f>'Hail_Site_Inputs'!$B$16</x:f>
        <x:v>0.6</x:v>
      </x:c>
      <x:c r="F7" s="30" t="n">
        <x:f>'Hail_Site_Inputs'!$B$13</x:f>
        <x:v>1</x:v>
      </x:c>
      <x:c r="G7" s="100" t="n">
        <x:f>'Hail_Site_Inputs'!$B$17</x:f>
        <x:v>8</x:v>
      </x:c>
      <x:c r="H7" s="100" t="n">
        <x:f>'Hail_Site_Inputs'!$B$18</x:f>
        <x:v>0.9</x:v>
      </x:c>
      <x:c r="I7" s="30" t="n">
        <x:f>(($E7*($H7/(1+EXP(-$C7*(50-($B7+$G7)))))+(1-$E7)*(1/(1+EXP(-$C7*(50-$B7)))))*'Hail_Site_Inputs'!$B$11*$D7*$F7*'Hail_Site_Inputs'!$B$10/'Hail_Site_Inputs'!$B$9)</x:f>
        <x:v>0.05482519064071948</x:v>
      </x:c>
      <x:c r="J7" s="30" t="n">
        <x:f>(($E7*($H7/(1+EXP(-$C7*(65-($B7+$G7)))))+(1-$E7)*(1/(1+EXP(-$C7*(65-$B7)))))*'Hail_Site_Inputs'!$B$11*$D7*$F7*'Hail_Site_Inputs'!$B$10/'Hail_Site_Inputs'!$B$9)</x:f>
        <x:v>0.16767693724047736</x:v>
      </x:c>
      <x:c r="K7" s="28" t="n">
        <x:f>I7*'Hail_Site_Inputs'!$B$9</x:f>
        <x:v>6140421.351760582</x:v>
      </x:c>
      <x:c r="L7" t="str">
        <x:v>Higher exposed material-share cap.</x:v>
      </x:c>
    </x:row>
    <x:row r="8">
      <x:c r="A8" t="str">
        <x:v>No stow</x:v>
      </x:c>
      <x:c r="B8" s="100" t="n">
        <x:f>'Hail_Site_Inputs'!$B$19</x:f>
        <x:v>52.69607620290103</x:v>
      </x:c>
      <x:c r="C8" s="100" t="n">
        <x:f>'Hail_Site_Inputs'!$B$20</x:f>
        <x:v>0.1659123052836369</x:v>
      </x:c>
      <x:c r="D8" s="30" t="n">
        <x:f>'Hail_Site_Inputs'!$B$12</x:f>
        <x:v>0.8</x:v>
      </x:c>
      <x:c r="E8" s="30" t="n">
        <x:v>0</x:v>
      </x:c>
      <x:c r="F8" s="30" t="n">
        <x:f>'Hail_Site_Inputs'!$B$13</x:f>
        <x:v>1</x:v>
      </x:c>
      <x:c r="G8" s="100" t="n">
        <x:f>'Hail_Site_Inputs'!$B$17</x:f>
        <x:v>8</x:v>
      </x:c>
      <x:c r="H8" s="100" t="n">
        <x:f>'Hail_Site_Inputs'!$B$18</x:f>
        <x:v>0.9</x:v>
      </x:c>
      <x:c r="I8" s="30" t="n">
        <x:f>(($E8*($H8/(1+EXP(-$C8*(50-($B8+$G8)))))+(1-$E8)*(1/(1+EXP(-$C8*(50-$B8)))))*'Hail_Site_Inputs'!$B$11*$D8*$F8*'Hail_Site_Inputs'!$B$10/'Hail_Site_Inputs'!$B$9)</x:f>
        <x:v>0.08112413718683621</x:v>
      </x:c>
      <x:c r="J8" s="30" t="n">
        <x:f>(($E8*($H8/(1+EXP(-$C8*(65-($B8+$G8)))))+(1-$E8)*(1/(1+EXP(-$C8*(65-$B8)))))*'Hail_Site_Inputs'!$B$11*$D8*$F8*'Hail_Site_Inputs'!$B$10/'Hail_Site_Inputs'!$B$9)</x:f>
        <x:v>0.18410455984380714</x:v>
      </x:c>
      <x:c r="K8" s="28" t="n">
        <x:f>I8*'Hail_Site_Inputs'!$B$9</x:f>
        <x:v>9085903.364925656</x:v>
      </x:c>
      <x:c r="L8" t="str">
        <x:v>Conditioner failure / no effective stow.</x:v>
      </x:c>
    </x:row>
    <x:row r="9">
      <x:c r="A9" t="str">
        <x:v>High stow confidence</x:v>
      </x:c>
      <x:c r="B9" s="100" t="n">
        <x:f>'Hail_Site_Inputs'!$B$19</x:f>
        <x:v>52.69607620290103</x:v>
      </x:c>
      <x:c r="C9" s="100" t="n">
        <x:f>'Hail_Site_Inputs'!$B$20</x:f>
        <x:v>0.1659123052836369</x:v>
      </x:c>
      <x:c r="D9" s="30" t="n">
        <x:f>'Hail_Site_Inputs'!$B$12</x:f>
        <x:v>0.8</x:v>
      </x:c>
      <x:c r="E9" s="30" t="n">
        <x:v>0.9</x:v>
      </x:c>
      <x:c r="F9" s="30" t="n">
        <x:f>'Hail_Site_Inputs'!$B$13</x:f>
        <x:v>1</x:v>
      </x:c>
      <x:c r="G9" s="100" t="n">
        <x:f>'Hail_Site_Inputs'!$B$17</x:f>
        <x:v>8</x:v>
      </x:c>
      <x:c r="H9" s="100" t="n">
        <x:f>'Hail_Site_Inputs'!$B$18</x:f>
        <x:v>0.9</x:v>
      </x:c>
      <x:c r="I9" s="30" t="n">
        <x:f>(($E9*($H9/(1+EXP(-$C9*(50-($B9+$G9)))))+(1-$E9)*(1/(1+EXP(-$C9*(50-$B9)))))*'Hail_Site_Inputs'!$B$11*$D9*$F9*'Hail_Site_Inputs'!$B$10/'Hail_Site_Inputs'!$B$9)</x:f>
        <x:v>0.032538185594207875</x:v>
      </x:c>
      <x:c r="J9" s="30" t="n">
        <x:f>(($E9*($H9/(1+EXP(-$C9*(65-($B9+$G9)))))+(1-$E9)*(1/(1+EXP(-$C9*(65-$B9)))))*'Hail_Site_Inputs'!$B$11*$D9*$F9*'Hail_Site_Inputs'!$B$10/'Hail_Site_Inputs'!$B$9)</x:f>
        <x:v>0.1315169697320662</x:v>
      </x:c>
      <x:c r="K9" s="28" t="n">
        <x:f>I9*'Hail_Site_Inputs'!$B$9</x:f>
        <x:v>3644276.786551282</x:v>
      </x:c>
      <x:c r="L9" t="str">
        <x:v>Better operational mitigation.</x:v>
      </x:c>
    </x:row>
    <x:row r="10">
      <x:c r="A10" t="str">
        <x:v>Half-footprint swath</x:v>
      </x:c>
      <x:c r="B10" s="100" t="n">
        <x:f>'Hail_Site_Inputs'!$B$19</x:f>
        <x:v>52.69607620290103</x:v>
      </x:c>
      <x:c r="C10" s="100" t="n">
        <x:f>'Hail_Site_Inputs'!$B$20</x:f>
        <x:v>0.1659123052836369</x:v>
      </x:c>
      <x:c r="D10" s="30" t="n">
        <x:f>'Hail_Site_Inputs'!$B$12</x:f>
        <x:v>0.8</x:v>
      </x:c>
      <x:c r="E10" s="30" t="n">
        <x:f>'Hail_Site_Inputs'!$B$16</x:f>
        <x:v>0.6</x:v>
      </x:c>
      <x:c r="F10" s="30" t="n">
        <x:v>0.5</x:v>
      </x:c>
      <x:c r="G10" s="100" t="n">
        <x:f>'Hail_Site_Inputs'!$B$17</x:f>
        <x:v>8</x:v>
      </x:c>
      <x:c r="H10" s="100" t="n">
        <x:f>'Hail_Site_Inputs'!$B$18</x:f>
        <x:v>0.9</x:v>
      </x:c>
      <x:c r="I10" s="30" t="n">
        <x:f>(($E10*($H10/(1+EXP(-$C10*(50-($B10+$G10)))))+(1-$E10)*(1/(1+EXP(-$C10*(50-$B10)))))*'Hail_Site_Inputs'!$B$11*$D10*$F10*'Hail_Site_Inputs'!$B$10/'Hail_Site_Inputs'!$B$9)</x:f>
        <x:v>0.024366751395875325</x:v>
      </x:c>
      <x:c r="J10" s="30" t="n">
        <x:f>(($E10*($H10/(1+EXP(-$C10*(65-($B10+$G10)))))+(1-$E10)*(1/(1+EXP(-$C10*(65-$B10)))))*'Hail_Site_Inputs'!$B$11*$D10*$F10*'Hail_Site_Inputs'!$B$10/'Hail_Site_Inputs'!$B$9)</x:f>
        <x:v>0.07452308321798994</x:v>
      </x:c>
      <x:c r="K10" s="28" t="n">
        <x:f>I10*'Hail_Site_Inputs'!$B$9</x:f>
        <x:v>2729076.1563380365</x:v>
      </x:c>
      <x:c r="L10" t="str">
        <x:v>Partial event footprint exposure.</x:v>
      </x:c>
    </x:row>
    <x:row r="11">
      <x:c r="A11" t="str">
        <x:v>Full-footprint swath</x:v>
      </x:c>
      <x:c r="B11" s="100" t="n">
        <x:f>'Hail_Site_Inputs'!$B$19</x:f>
        <x:v>52.69607620290103</x:v>
      </x:c>
      <x:c r="C11" s="100" t="n">
        <x:f>'Hail_Site_Inputs'!$B$20</x:f>
        <x:v>0.1659123052836369</x:v>
      </x:c>
      <x:c r="D11" s="30" t="n">
        <x:f>'Hail_Site_Inputs'!$B$12</x:f>
        <x:v>0.8</x:v>
      </x:c>
      <x:c r="E11" s="30" t="n">
        <x:f>'Hail_Site_Inputs'!$B$16</x:f>
        <x:v>0.6</x:v>
      </x:c>
      <x:c r="F11" s="30" t="n">
        <x:v>1</x:v>
      </x:c>
      <x:c r="G11" s="100" t="n">
        <x:f>'Hail_Site_Inputs'!$B$17</x:f>
        <x:v>8</x:v>
      </x:c>
      <x:c r="H11" s="100" t="n">
        <x:f>'Hail_Site_Inputs'!$B$18</x:f>
        <x:v>0.9</x:v>
      </x:c>
      <x:c r="I11" s="30" t="n">
        <x:f>(($E11*($H11/(1+EXP(-$C11*(50-($B11+$G11)))))+(1-$E11)*(1/(1+EXP(-$C11*(50-$B11)))))*'Hail_Site_Inputs'!$B$11*$D11*$F11*'Hail_Site_Inputs'!$B$10/'Hail_Site_Inputs'!$B$9)</x:f>
        <x:v>0.04873350279175065</x:v>
      </x:c>
      <x:c r="J11" s="30" t="n">
        <x:f>(($E11*($H11/(1+EXP(-$C11*(65-($B11+$G11)))))+(1-$E11)*(1/(1+EXP(-$C11*(65-$B11)))))*'Hail_Site_Inputs'!$B$11*$D11*$F11*'Hail_Site_Inputs'!$B$10/'Hail_Site_Inputs'!$B$9)</x:f>
        <x:v>0.14904616643597987</x:v>
      </x:c>
      <x:c r="K11" s="28" t="n">
        <x:f>I11*'Hail_Site_Inputs'!$B$9</x:f>
        <x:v>5458152.312676073</x:v>
      </x:c>
      <x:c r="L11" t="str">
        <x:v>Full exposure.</x:v>
      </x:c>
    </x:row>
    <x:row r="12">
      <x:c r="A12" t="str">
        <x:v>Fragile module</x:v>
      </x:c>
      <x:c r="B12" s="100" t="n">
        <x:v>41.07384158689197</x:v>
      </x:c>
      <x:c r="C12" s="100" t="n">
        <x:v>0.2206330604244443</x:v>
      </x:c>
      <x:c r="D12" s="30" t="n">
        <x:f>'Hail_Site_Inputs'!$B$12</x:f>
        <x:v>0.8</x:v>
      </x:c>
      <x:c r="E12" s="30" t="n">
        <x:f>'Hail_Site_Inputs'!$B$16</x:f>
        <x:v>0.6</x:v>
      </x:c>
      <x:c r="F12" s="30" t="n">
        <x:f>'Hail_Site_Inputs'!$B$13</x:f>
        <x:v>1</x:v>
      </x:c>
      <x:c r="G12" s="100" t="n">
        <x:f>'Hail_Site_Inputs'!$B$17</x:f>
        <x:v>8</x:v>
      </x:c>
      <x:c r="H12" s="100" t="n">
        <x:f>'Hail_Site_Inputs'!$B$18</x:f>
        <x:v>0.9</x:v>
      </x:c>
      <x:c r="I12" s="30" t="n">
        <x:f>(($E12*($H12/(1+EXP(-$C12*(50-($B12+$G12)))))+(1-$E12)*(1/(1+EXP(-$C12*(50-$B12)))))*'Hail_Site_Inputs'!$B$11*$D12*$F12*'Hail_Site_Inputs'!$B$10/'Hail_Site_Inputs'!$B$9)</x:f>
        <x:v>0.1348968287841633</x:v>
      </x:c>
      <x:c r="J12" s="30" t="n">
        <x:f>(($E12*($H12/(1+EXP(-$C12*(65-($B12+$G12)))))+(1-$E12)*(1/(1+EXP(-$C12*(65-$B12)))))*'Hail_Site_Inputs'!$B$11*$D12*$F12*'Hail_Site_Inputs'!$B$10/'Hail_Site_Inputs'!$B$9)</x:f>
        <x:v>0.1918593644958093</x:v>
      </x:c>
      <x:c r="K12" s="28" t="n">
        <x:f>I12*'Hail_Site_Inputs'!$B$9</x:f>
        <x:v>15108444.823826289</x:v>
      </x:c>
      <x:c r="L12" t="str">
        <x:v>Thin glass//glass scenario.</x:v>
      </x:c>
    </x:row>
    <x:row r="13">
      <x:c r="A13" t="str">
        <x:v>Hail-hardened module</x:v>
      </x:c>
      <x:c r="B13" s="100" t="n">
        <x:v>64.1138295233511</x:v>
      </x:c>
      <x:c r="C13" s="100" t="n">
        <x:v>0.1353307740313274</x:v>
      </x:c>
      <x:c r="D13" s="30" t="n">
        <x:f>'Hail_Site_Inputs'!$B$12</x:f>
        <x:v>0.8</x:v>
      </x:c>
      <x:c r="E13" s="30" t="n">
        <x:f>'Hail_Site_Inputs'!$B$16</x:f>
        <x:v>0.6</x:v>
      </x:c>
      <x:c r="F13" s="30" t="n">
        <x:f>'Hail_Site_Inputs'!$B$13</x:f>
        <x:v>1</x:v>
      </x:c>
      <x:c r="G13" s="100" t="n">
        <x:f>'Hail_Site_Inputs'!$B$17</x:f>
        <x:v>8</x:v>
      </x:c>
      <x:c r="H13" s="100" t="n">
        <x:f>'Hail_Site_Inputs'!$B$18</x:f>
        <x:v>0.9</x:v>
      </x:c>
      <x:c r="I13" s="30" t="n">
        <x:f>(($E13*($H13/(1+EXP(-$C13*(50-($B13+$G13)))))+(1-$E13)*(1/(1+EXP(-$C13*(50-$B13)))))*'Hail_Site_Inputs'!$B$11*$D13*$F13*'Hail_Site_Inputs'!$B$10/'Hail_Site_Inputs'!$B$9)</x:f>
        <x:v>0.016095828495027924</x:v>
      </x:c>
      <x:c r="J13" s="30" t="n">
        <x:f>(($E13*($H13/(1+EXP(-$C13*(65-($B13+$G13)))))+(1-$E13)*(1/(1+EXP(-$C13*(65-$B13)))))*'Hail_Site_Inputs'!$B$11*$D13*$F13*'Hail_Site_Inputs'!$B$10/'Hail_Site_Inputs'!$B$9)</x:f>
        <x:v>0.07513313637990239</x:v>
      </x:c>
      <x:c r="K13" s="28" t="n">
        <x:f>I13*'Hail_Site_Inputs'!$B$9</x:f>
        <x:v>1802732.7914431274</x:v>
      </x:c>
      <x:c r="L13" t="str">
        <x:v>Thicker / hardened scenario.</x:v>
      </x:c>
    </x:row>
  </x:sheetData>
  <x:mergeCells>
    <x:mergeCell ref="A1:L1"/>
    <x:mergeCell ref="A2:L2"/>
  </x:mergeCells>
  <x:pageMargins left="0.7" right="0.7" top="0.75" bottom="0.75" header="0.3" footer="0.3"/>
  <x:tableParts count="1">
    <x:tablePart xmlns:r="http://schemas.openxmlformats.org/officeDocument/2006/relationships" r:id="Rc9c5e5614ca748f5"/>
  </x:tableParts>
</x:worksheet>
</file>

<file path=xl/worksheets/sheet33.xml><?xml version="1.0" encoding="utf-8"?>
<x:worksheet xmlns:x="http://schemas.openxmlformats.org/spreadsheetml/2006/main">
  <x:sheetFormatPr defaultRowHeight="15"/>
  <x:cols>
    <x:col min="1" max="1" width="20" hidden="0" customWidth="1"/>
    <x:col min="2" max="2" width="16" hidden="0" customWidth="1"/>
    <x:col min="3" max="3" width="10" hidden="0" customWidth="1"/>
    <x:col min="4" max="4" width="35" hidden="0" customWidth="1"/>
    <x:col min="5" max="5" width="3" hidden="0" customWidth="1"/>
    <x:col min="6" max="6" width="16" hidden="0" customWidth="1"/>
    <x:col min="7" max="7" width="12" hidden="0" customWidth="1"/>
    <x:col min="8" max="8" width="14" hidden="0" customWidth="1"/>
    <x:col min="9" max="9" width="12" hidden="0" customWidth="1"/>
    <x:col min="10" max="10" width="16" hidden="0" customWidth="1"/>
    <x:col min="11" max="11" width="12" hidden="0" customWidth="1"/>
    <x:col min="12" max="12" width="3" hidden="0" customWidth="1"/>
    <x:col min="13" max="13" width="24" hidden="0" customWidth="1"/>
    <x:col min="14" max="14" width="24" hidden="0" customWidth="1"/>
    <x:col min="15" max="15" width="24" hidden="0" customWidth="1"/>
    <x:col min="16" max="16" width="24" hidden="0" customWidth="1"/>
  </x:cols>
  <x:sheetData>
    <x:row r="1" ht="28" customHeight="1">
      <x:c r="A1" s="106" t="str">
        <x:v>Hail × Solar v1.1 — Site Adaptation &amp; Risk Interface</x:v>
      </x:c>
      <x:c r="B1" s="106"/>
      <x:c r="C1" s="106"/>
      <x:c r="D1" s="106"/>
      <x:c r="E1" s="106"/>
      <x:c r="F1" s="106"/>
      <x:c r="G1" s="106"/>
      <x:c r="H1" s="106"/>
      <x:c r="I1" s="106"/>
      <x:c r="J1" s="106"/>
      <x:c r="K1" s="106"/>
      <x:c r="L1" s="106"/>
      <x:c r="M1" s="106"/>
      <x:c r="N1" s="106"/>
      <x:c r="O1" s="106"/>
      <x:c r="P1" s="106"/>
    </x:row>
    <x:row r="2" ht="28" customHeight="1">
      <x:c r="A2" s="109" t="str">
        <x:v>This dashboard connects the v1.0 MESH-diameter severity curve to site inputs, stow conditioning, an editable hail frequency curve, return-period loss, and illustrative EAL by bin.</x:v>
      </x:c>
      <x:c r="B2" s="109"/>
      <x:c r="C2" s="109"/>
      <x:c r="D2" s="109"/>
      <x:c r="E2" s="109"/>
      <x:c r="F2" s="109"/>
      <x:c r="G2" s="109"/>
      <x:c r="H2" s="109"/>
      <x:c r="I2" s="109"/>
      <x:c r="J2" s="109"/>
      <x:c r="K2" s="109"/>
      <x:c r="L2" s="109"/>
      <x:c r="M2" s="109"/>
      <x:c r="N2" s="109"/>
      <x:c r="O2" s="109"/>
      <x:c r="P2" s="109"/>
    </x:row>
    <x:row r="4">
      <x:c r="A4" s="114" t="str">
        <x:v>KPI</x:v>
      </x:c>
      <x:c r="B4" s="114" t="str">
        <x:v>Value</x:v>
      </x:c>
      <x:c r="C4" s="114" t="str">
        <x:v>Unit</x:v>
      </x:c>
      <x:c r="D4" s="114" t="str">
        <x:v>Notes</x:v>
      </x:c>
      <x:c r="F4" s="114" t="str">
        <x:v>Return period</x:v>
      </x:c>
      <x:c r="G4" s="114" t="str">
        <x:v>MESH mm</x:v>
      </x:c>
      <x:c r="H4" s="114" t="str">
        <x:v>Module DR</x:v>
      </x:c>
      <x:c r="I4" s="114" t="str">
        <x:v>%TIV</x:v>
      </x:c>
      <x:c r="J4" s="114" t="str">
        <x:v>Loss USD</x:v>
      </x:c>
      <x:c r="K4" s="114" t="str">
        <x:v>Cap use</x:v>
      </x:c>
      <x:c r="M4" s="130" t="str">
        <x:v>Interpretation notes:
• This is a site-adaptation interface, not a final underwriting frequency model.
• Replace Hail_Hazard_Frequency with a site-specific MESH exceedance curve before using EAL.
• Tail/PML remain withheld unless hazard frequency and curve uncertainty are sourced.
• Stow is scenario-weighted here; a stochastic P(stowed | forecast, controls, lead time) model is future work.</x:v>
      </x:c>
      <x:c r="N4" s="130"/>
      <x:c r="O4" s="130"/>
      <x:c r="P4" s="130"/>
    </x:row>
    <x:row r="5">
      <x:c r="A5" t="str">
        <x:v>Site ID</x:v>
      </x:c>
      <x:c r="B5" t="str">
        <x:f>'Hail_Site_Inputs'!$B$5</x:f>
        <x:v>Example_Solar_TX_Generic</x:v>
      </x:c>
      <x:c r="C5" t="str">
        <x:v>text</x:v>
      </x:c>
      <x:c r="D5" t="str">
        <x:v>from Hail_Site_Inputs</x:v>
      </x:c>
      <x:c r="F5" s="83" t="n">
        <x:f>'Hail_Return_Period_Loss'!A5</x:f>
        <x:v>5</x:v>
      </x:c>
      <x:c r="G5" s="83" t="n">
        <x:f>'Hail_Return_Period_Loss'!B5</x:f>
        <x:v>25</x:v>
      </x:c>
      <x:c r="H5" s="30" t="n">
        <x:f>'Hail_Return_Period_Loss'!C5</x:f>
        <x:v>0.005442641364270517</x:v>
      </x:c>
      <x:c r="I5" s="30" t="n">
        <x:f>'Hail_Return_Period_Loss'!F5</x:f>
        <x:v>0.0011321271402405918</x:v>
      </x:c>
      <x:c r="J5" s="28" t="n">
        <x:f>'Hail_Return_Period_Loss'!G5</x:f>
        <x:v>126798.23970694629</x:v>
      </x:c>
      <x:c r="K5" s="30" t="n">
        <x:f>'Hail_Return_Period_Loss'!H5</x:f>
        <x:v>0.005442641364270517</x:v>
      </x:c>
      <x:c r="M5" s="130"/>
      <x:c r="N5" s="130"/>
      <x:c r="O5" s="130"/>
      <x:c r="P5" s="130"/>
    </x:row>
    <x:row r="6">
      <x:c r="A6" t="str">
        <x:v>Module archetype</x:v>
      </x:c>
      <x:c r="B6" t="str">
        <x:f>'Hail_Site_Inputs'!$B$14</x:f>
        <x:v>Default 3.2mm GBS</x:v>
      </x:c>
      <x:c r="C6" t="str">
        <x:v>selector</x:v>
      </x:c>
      <x:c r="D6" t="str">
        <x:v>from Hail_Site_Inputs</x:v>
      </x:c>
      <x:c r="F6" s="83" t="n">
        <x:f>'Hail_Return_Period_Loss'!A6</x:f>
        <x:v>10</x:v>
      </x:c>
      <x:c r="G6" s="83" t="n">
        <x:f>'Hail_Return_Period_Loss'!B6</x:f>
        <x:v>35</x:v>
      </x:c>
      <x:c r="H6" s="30" t="n">
        <x:f>'Hail_Return_Period_Loss'!C6</x:f>
        <x:v>0.027656462424018688</x:v>
      </x:c>
      <x:c r="I6" s="30" t="n">
        <x:f>'Hail_Return_Period_Loss'!F6</x:f>
        <x:v>0.0057528375686889035</x:v>
      </x:c>
      <x:c r="J6" s="28" t="n">
        <x:f>'Hail_Return_Period_Loss'!G6</x:f>
        <x:v>644317.8076931573</x:v>
      </x:c>
      <x:c r="K6" s="30" t="n">
        <x:f>'Hail_Return_Period_Loss'!H6</x:f>
        <x:v>0.027656462424018688</x:v>
      </x:c>
      <x:c r="M6" s="130"/>
      <x:c r="N6" s="130"/>
      <x:c r="O6" s="130"/>
      <x:c r="P6" s="130"/>
    </x:row>
    <x:row r="7">
      <x:c r="A7" t="str">
        <x:v>Stow mode</x:v>
      </x:c>
      <x:c r="B7" t="str">
        <x:f>'Hail_Site_Inputs'!$B$15</x:f>
        <x:v>Probabilistic</x:v>
      </x:c>
      <x:c r="C7" t="str">
        <x:v>conditioner</x:v>
      </x:c>
      <x:c r="D7" t="str">
        <x:v>from Hail_Site_Inputs</x:v>
      </x:c>
      <x:c r="F7" s="83" t="n">
        <x:f>'Hail_Return_Period_Loss'!A7</x:f>
        <x:v>25</x:v>
      </x:c>
      <x:c r="G7" s="83" t="n">
        <x:f>'Hail_Return_Period_Loss'!B7</x:f>
        <x:v>45</x:v>
      </x:c>
      <x:c r="H7" s="30" t="n">
        <x:f>'Hail_Return_Period_Loss'!C7</x:f>
        <x:v>0.12442314989258703</x:v>
      </x:c>
      <x:c r="I7" s="30" t="n">
        <x:f>'Hail_Return_Period_Loss'!F7</x:f>
        <x:v>0.025881335079755163</x:v>
      </x:c>
      <x:c r="J7" s="28" t="n">
        <x:f>'Hail_Return_Period_Loss'!G7</x:f>
        <x:v>2898709.528932579</x:v>
      </x:c>
      <x:c r="K7" s="30" t="n">
        <x:f>'Hail_Return_Period_Loss'!H7</x:f>
        <x:v>0.12442314989258703</x:v>
      </x:c>
      <x:c r="M7" s="130"/>
      <x:c r="N7" s="130"/>
      <x:c r="O7" s="130"/>
      <x:c r="P7" s="130"/>
    </x:row>
    <x:row r="8">
      <x:c r="A8" t="str">
        <x:v>P(stowed)</x:v>
      </x:c>
      <x:c r="B8" s="30" t="n">
        <x:f>'Hail_Site_Inputs'!$B$16</x:f>
        <x:v>0.6</x:v>
      </x:c>
      <x:c r="C8" t="str">
        <x:v>%</x:v>
      </x:c>
      <x:c r="D8" t="str">
        <x:v>scenario assumption</x:v>
      </x:c>
      <x:c r="F8" s="83" t="n">
        <x:f>'Hail_Return_Period_Loss'!A8</x:f>
        <x:v>50</x:v>
      </x:c>
      <x:c r="G8" s="83" t="n">
        <x:f>'Hail_Return_Period_Loss'!B8</x:f>
        <x:v>50</x:v>
      </x:c>
      <x:c r="H8" s="30" t="n">
        <x:f>'Hail_Return_Period_Loss'!C8</x:f>
        <x:v>0.23428373783514111</x:v>
      </x:c>
      <x:c r="I8" s="30" t="n">
        <x:f>'Hail_Return_Period_Loss'!F8</x:f>
        <x:v>0.04873350279175065</x:v>
      </x:c>
      <x:c r="J8" s="28" t="n">
        <x:f>'Hail_Return_Period_Loss'!G8</x:f>
        <x:v>5458152.312676074</x:v>
      </x:c>
      <x:c r="K8" s="30" t="n">
        <x:f>'Hail_Return_Period_Loss'!H8</x:f>
        <x:v>0.23428373783514111</x:v>
      </x:c>
      <x:c r="M8" s="130"/>
      <x:c r="N8" s="130"/>
      <x:c r="O8" s="130"/>
      <x:c r="P8" s="130"/>
    </x:row>
    <x:row r="9">
      <x:c r="A9" t="str">
        <x:v>Failure-unit cap</x:v>
      </x:c>
      <x:c r="B9" s="28" t="n">
        <x:f>'Hail_Site_Inputs'!$B$21</x:f>
        <x:v>23297188.11519399</x:v>
      </x:c>
      <x:c r="C9" t="str">
        <x:v>USD</x:v>
      </x:c>
      <x:c r="D9" t="str">
        <x:v>max module glass/cell loss</x:v>
      </x:c>
      <x:c r="F9" s="83" t="n">
        <x:f>'Hail_Return_Period_Loss'!A9</x:f>
        <x:v>75</x:v>
      </x:c>
      <x:c r="G9" s="83" t="n">
        <x:f>'Hail_Return_Period_Loss'!B9</x:f>
        <x:v>55</x:v>
      </x:c>
      <x:c r="H9" s="30" t="n">
        <x:f>'Hail_Return_Period_Loss'!C9</x:f>
        <x:v>0.3889022455443066</x:v>
      </x:c>
      <x:c r="I9" s="30" t="n">
        <x:f>'Hail_Return_Period_Loss'!F9</x:f>
        <x:v>0.08089579261488457</x:v>
      </x:c>
      <x:c r="J9" s="28" t="n">
        <x:f>'Hail_Return_Period_Loss'!G9</x:f>
        <x:v>9060328.772867074</x:v>
      </x:c>
      <x:c r="K9" s="30" t="n">
        <x:f>'Hail_Return_Period_Loss'!H9</x:f>
        <x:v>0.3889022455443066</x:v>
      </x:c>
      <x:c r="M9" s="130"/>
      <x:c r="N9" s="130"/>
      <x:c r="O9" s="130"/>
      <x:c r="P9" s="130"/>
    </x:row>
    <x:row r="10">
      <x:c r="A10" t="str">
        <x:v>Cap as %TIV</x:v>
      </x:c>
      <x:c r="B10" s="30" t="n">
        <x:f>'Hail_Site_Inputs'!$B$23</x:f>
        <x:v>0.2080106081713749</x:v>
      </x:c>
      <x:c r="C10" t="str">
        <x:v>%</x:v>
      </x:c>
      <x:c r="D10" t="str">
        <x:v>site-conditioned cap</x:v>
      </x:c>
      <x:c r="F10" s="83" t="n">
        <x:f>'Hail_Return_Period_Loss'!A10</x:f>
        <x:v>100</x:v>
      </x:c>
      <x:c r="G10" s="83" t="n">
        <x:f>'Hail_Return_Period_Loss'!B10</x:f>
        <x:v>65</x:v>
      </x:c>
      <x:c r="H10" s="30" t="n">
        <x:f>'Hail_Return_Period_Loss'!C10</x:f>
        <x:v>0.7165315641651524</x:v>
      </x:c>
      <x:c r="I10" s="30" t="n">
        <x:f>'Hail_Return_Period_Loss'!F10</x:f>
        <x:v>0.14904616643597987</x:v>
      </x:c>
      <x:c r="J10" s="28" t="n">
        <x:f>'Hail_Return_Period_Loss'!G10</x:f>
        <x:v>16693170.640829748</x:v>
      </x:c>
      <x:c r="K10" s="30" t="n">
        <x:f>'Hail_Return_Period_Loss'!H10</x:f>
        <x:v>0.7165315641651524</x:v>
      </x:c>
      <x:c r="M10" s="130"/>
      <x:c r="N10" s="130"/>
      <x:c r="O10" s="130"/>
      <x:c r="P10" s="130"/>
    </x:row>
    <x:row r="11">
      <x:c r="A11" t="str">
        <x:v>Illustrative EAL</x:v>
      </x:c>
      <x:c r="B11" s="28" t="n">
        <x:f>'Hail_EAL_By_Bin'!$J$15</x:f>
        <x:v>488092.5398527334</x:v>
      </x:c>
      <x:c r="C11" t="str">
        <x:v>USD/year</x:v>
      </x:c>
      <x:c r="D11" t="str">
        <x:v>uses editable placeholder AEP curve</x:v>
      </x:c>
      <x:c r="F11" s="83" t="n">
        <x:f>'Hail_Return_Period_Loss'!A11</x:f>
        <x:v>250</x:v>
      </x:c>
      <x:c r="G11" s="83" t="n">
        <x:f>'Hail_Return_Period_Loss'!B11</x:f>
        <x:v>76</x:v>
      </x:c>
      <x:c r="H11" s="30" t="n">
        <x:f>'Hail_Return_Period_Loss'!C11</x:f>
        <x:v>0.8922910793909067</x:v>
      </x:c>
      <x:c r="I11" s="30" t="n">
        <x:f>'Hail_Return_Period_Loss'!F11</x:f>
        <x:v>0.18560601008999503</x:v>
      </x:c>
      <x:c r="J11" s="28" t="n">
        <x:f>'Hail_Return_Period_Loss'!G11</x:f>
        <x:v>20787873.13007945</x:v>
      </x:c>
      <x:c r="K11" s="30" t="n">
        <x:f>'Hail_Return_Period_Loss'!H11</x:f>
        <x:v>0.8922910793909067</x:v>
      </x:c>
      <x:c r="M11" s="130"/>
      <x:c r="N11" s="130"/>
      <x:c r="O11" s="130"/>
      <x:c r="P11" s="130"/>
    </x:row>
    <x:row r="12">
      <x:c r="A12" t="str">
        <x:v>Illustrative EAL as %TIV</x:v>
      </x:c>
      <x:c r="B12" s="135" t="n">
        <x:f>'Hail_EAL_By_Bin'!$J$16</x:f>
        <x:v>0.004357969105827976</x:v>
      </x:c>
      <x:c r="C12" t="str">
        <x:v>%/year</x:v>
      </x:c>
      <x:c r="D12" t="str">
        <x:v>not final until AEP is sourced</x:v>
      </x:c>
      <x:c r="F12" s="83" t="n">
        <x:f>'Hail_Return_Period_Loss'!A12</x:f>
        <x:v>500</x:v>
      </x:c>
      <x:c r="G12" s="83" t="n">
        <x:f>'Hail_Return_Period_Loss'!B12</x:f>
        <x:v>90</x:v>
      </x:c>
      <x:c r="H12" s="30" t="n">
        <x:f>'Hail_Return_Period_Loss'!C12</x:f>
        <x:v>0.935035750668467</x:v>
      </x:c>
      <x:c r="I12" s="30" t="n">
        <x:f>'Hail_Return_Period_Loss'!F12</x:f>
        <x:v>0.1944973551585259</x:v>
      </x:c>
      <x:c r="J12" s="28" t="n">
        <x:f>'Hail_Return_Period_Loss'!G12</x:f>
        <x:v>21783703.7777549</x:v>
      </x:c>
      <x:c r="K12" s="30" t="n">
        <x:f>'Hail_Return_Period_Loss'!H12</x:f>
        <x:v>0.935035750668467</x:v>
      </x:c>
      <x:c r="M12" s="130"/>
      <x:c r="N12" s="130"/>
      <x:c r="O12" s="130"/>
      <x:c r="P12" s="130"/>
    </x:row>
    <x:row r="13">
      <x:c r="A13" t="str">
        <x:v>50mm %TIV</x:v>
      </x:c>
      <x:c r="B13" s="135" t="n">
        <x:f>'Hail_Site_Loss'!$H$15</x:f>
        <x:v>0.04873350279175065</x:v>
      </x:c>
      <x:c r="C13" t="str">
        <x:v>%</x:v>
      </x:c>
      <x:c r="D13" t="str">
        <x:v>conditioned loss at 50mm MESH</x:v>
      </x:c>
      <x:c r="F13" s="83" t="n">
        <x:f>'Hail_Return_Period_Loss'!A13</x:f>
        <x:v>1000</x:v>
      </x:c>
      <x:c r="G13" s="83" t="n">
        <x:f>'Hail_Return_Period_Loss'!B13</x:f>
        <x:v>100</x:v>
      </x:c>
      <x:c r="H13" s="30" t="n">
        <x:f>'Hail_Return_Period_Loss'!C13</x:f>
        <x:v>0.9390500817493674</x:v>
      </x:c>
      <x:c r="I13" s="30" t="n">
        <x:f>'Hail_Return_Period_Loss'!F13</x:f>
        <x:v>0.19533237860806524</x:v>
      </x:c>
      <x:c r="J13" s="28" t="n">
        <x:f>'Hail_Return_Period_Loss'!G13</x:f>
        <x:v>21877226.404103305</x:v>
      </x:c>
      <x:c r="K13" s="30" t="n">
        <x:f>'Hail_Return_Period_Loss'!H13</x:f>
        <x:v>0.9390500817493673</x:v>
      </x:c>
      <x:c r="M13" s="130"/>
      <x:c r="N13" s="130"/>
      <x:c r="O13" s="130"/>
      <x:c r="P13" s="130"/>
    </x:row>
    <x:row r="14">
      <x:c r="A14" t="str">
        <x:v>65mm %TIV</x:v>
      </x:c>
      <x:c r="B14" s="135" t="n">
        <x:f>'Hail_Site_Loss'!$H$18</x:f>
        <x:v>0.14904616643597987</x:v>
      </x:c>
      <x:c r="C14" t="str">
        <x:v>%</x:v>
      </x:c>
      <x:c r="D14" t="str">
        <x:v>conditioned loss at 65mm MESH</x:v>
      </x:c>
      <x:c r="M14" s="130"/>
      <x:c r="N14" s="130"/>
      <x:c r="O14" s="130"/>
      <x:c r="P14" s="130"/>
    </x:row>
    <x:row r="16">
      <x:c r="M16" s="114"/>
      <x:c r="N16" s="114"/>
    </x:row>
    <x:row r="17">
      <x:c r="M17"/>
      <x:c r="N17" s="28"/>
    </x:row>
    <x:row r="18">
      <x:c r="M18"/>
      <x:c r="N18" s="28"/>
    </x:row>
    <x:row r="19">
      <x:c r="M19"/>
      <x:c r="N19" s="28"/>
    </x:row>
    <x:row r="20">
      <x:c r="M20"/>
      <x:c r="N20" s="28"/>
    </x:row>
    <x:row r="21">
      <x:c r="M21"/>
      <x:c r="N21" s="28"/>
    </x:row>
    <x:row r="22">
      <x:c r="M22"/>
      <x:c r="N22" s="28"/>
    </x:row>
    <x:row r="23">
      <x:c r="M23"/>
      <x:c r="N23" s="28"/>
    </x:row>
    <x:row r="24">
      <x:c r="M24"/>
      <x:c r="N24" s="28"/>
    </x:row>
    <x:row r="25">
      <x:c r="M25"/>
      <x:c r="N25" s="28"/>
    </x:row>
    <x:row r="26">
      <x:c r="M26"/>
      <x:c r="N26" s="28"/>
    </x:row>
    <x:row r="27">
      <x:c r="M27"/>
      <x:c r="N27" s="28"/>
    </x:row>
    <x:row r="28">
      <x:c r="M28"/>
      <x:c r="N28" s="28"/>
    </x:row>
    <x:row r="29">
      <x:c r="M29"/>
      <x:c r="N29" s="28"/>
    </x:row>
    <x:row r="30">
      <x:c r="M30"/>
      <x:c r="N30" s="28"/>
    </x:row>
    <x:row r="31">
      <x:c r="M31"/>
      <x:c r="N31" s="28"/>
    </x:row>
    <x:row r="32">
      <x:c r="M32"/>
      <x:c r="N32" s="28"/>
    </x:row>
    <x:row r="33">
      <x:c r="M33"/>
      <x:c r="N33" s="28"/>
    </x:row>
    <x:row r="34">
      <x:c r="M34"/>
      <x:c r="N34" s="28"/>
    </x:row>
    <x:row r="35">
      <x:c r="M35"/>
      <x:c r="N35" s="28"/>
    </x:row>
    <x:row r="36">
      <x:c r="M36"/>
      <x:c r="N36" s="28"/>
    </x:row>
    <x:row r="37">
      <x:c r="M37"/>
      <x:c r="N37" s="28"/>
    </x:row>
  </x:sheetData>
  <x:mergeCells>
    <x:mergeCell ref="A1:P1"/>
    <x:mergeCell ref="A2:P2"/>
    <x:mergeCell ref="M4:P14"/>
  </x:mergeCells>
  <x:pageMargins left="0.7" right="0.7" top="0.75" bottom="0.75" header="0.3" footer="0.3"/>
  <x:drawing xmlns:r="http://schemas.openxmlformats.org/officeDocument/2006/relationships" r:id="R42478f7b8c9c4ea6"/>
</x:worksheet>
</file>

<file path=xl/worksheets/sheet34.xml><?xml version="1.0" encoding="utf-8"?>
<x:worksheet xmlns:x="http://schemas.openxmlformats.org/spreadsheetml/2006/main">
  <x:sheetFormatPr defaultRowHeight="15"/>
  <x:cols>
    <x:col min="1" max="1" width="24" hidden="0" customWidth="1"/>
    <x:col min="2" max="2" width="50" hidden="0" customWidth="1"/>
    <x:col min="3" max="3" width="22" hidden="0" customWidth="1"/>
    <x:col min="4" max="4" width="12" hidden="0" customWidth="1"/>
    <x:col min="5" max="5" width="14" hidden="0" customWidth="1"/>
    <x:col min="6" max="6" width="50" hidden="0" customWidth="1"/>
  </x:cols>
  <x:sheetData>
    <x:row r="1" ht="28" customHeight="1">
      <x:c r="A1" s="106" t="str">
        <x:v>Hail × Solar v1.1 — QA / Governance Checks</x:v>
      </x:c>
      <x:c r="B1" s="106"/>
      <x:c r="C1" s="106"/>
      <x:c r="D1" s="106"/>
      <x:c r="E1" s="106"/>
      <x:c r="F1" s="106"/>
    </x:row>
    <x:row r="2" ht="28" customHeight="1"/>
    <x:row r="3">
      <x:c r="A3" s="114" t="str">
        <x:v>check_id</x:v>
      </x:c>
      <x:c r="B3" s="114" t="str">
        <x:v>check</x:v>
      </x:c>
      <x:c r="C3" s="114" t="str">
        <x:v>status_formula_or_value</x:v>
      </x:c>
      <x:c r="D3" s="114" t="str">
        <x:v>severity</x:v>
      </x:c>
      <x:c r="E3" s="114" t="str">
        <x:v>owner</x:v>
      </x:c>
      <x:c r="F3" s="114" t="str">
        <x:v>notes</x:v>
      </x:c>
    </x:row>
    <x:row r="4">
      <x:c r="A4" t="str">
        <x:v>QA_SITE_FREQ_PLACEHOLDER</x:v>
      </x:c>
      <x:c r="B4" t="str">
        <x:v>Hazard frequency table replaced with site-specific source?</x:v>
      </x:c>
      <x:c r="C4" t="str">
        <x:v>Needs user/source input</x:v>
      </x:c>
      <x:c r="D4" t="str">
        <x:v>High</x:v>
      </x:c>
      <x:c r="E4" t="str">
        <x:v>TBD</x:v>
      </x:c>
      <x:c r="F4" t="str">
        <x:v>Hail_Hazard_Frequency is illustrative by default.</x:v>
      </x:c>
    </x:row>
    <x:row r="5">
      <x:c r="A5" t="str">
        <x:v>QA_TIV_POSITIVE</x:v>
      </x:c>
      <x:c r="B5" t="str">
        <x:v>Installed capex / TIV &gt; 0</x:v>
      </x:c>
      <x:c r="C5" t="str">
        <x:f>IF('Hail_Site_Inputs'!$B$9&gt;0,"Pass","Fail")</x:f>
        <x:v>Pass</x:v>
      </x:c>
      <x:c r="D5" t="str">
        <x:v>High</x:v>
      </x:c>
      <x:c r="E5" t="str">
        <x:v>Model</x:v>
      </x:c>
      <x:c r="F5" t="str">
        <x:v>Formula check.</x:v>
      </x:c>
    </x:row>
    <x:row r="6">
      <x:c r="A6" t="str">
        <x:v>QA_PHYSICAL_POSITIVE</x:v>
      </x:c>
      <x:c r="B6" t="str">
        <x:v>Physical base &gt; 0</x:v>
      </x:c>
      <x:c r="C6" t="str">
        <x:f>IF('Hail_Site_Inputs'!$B$10&gt;0,"Pass","Fail")</x:f>
        <x:v>Pass</x:v>
      </x:c>
      <x:c r="D6" t="str">
        <x:v>High</x:v>
      </x:c>
      <x:c r="E6" t="str">
        <x:v>Model</x:v>
      </x:c>
      <x:c r="F6" t="str">
        <x:v>Formula check.</x:v>
      </x:c>
    </x:row>
    <x:row r="7">
      <x:c r="A7" t="str">
        <x:v>QA_EXPOSURE_RANGE</x:v>
      </x:c>
      <x:c r="B7" t="str">
        <x:v>Exposure fraction between 0 and 1</x:v>
      </x:c>
      <x:c r="C7" t="str">
        <x:f>IF(AND('Hail_Site_Inputs'!$B$13&gt;=0,'Hail_Site_Inputs'!$B$13&lt;=1),"Pass","Fail")</x:f>
        <x:v>Pass</x:v>
      </x:c>
      <x:c r="D7" t="str">
        <x:v>High</x:v>
      </x:c>
      <x:c r="E7" t="str">
        <x:v>Model</x:v>
      </x:c>
      <x:c r="F7" t="str">
        <x:v>Formula check.</x:v>
      </x:c>
    </x:row>
    <x:row r="8">
      <x:c r="A8" t="str">
        <x:v>QA_P_STOWED_RANGE</x:v>
      </x:c>
      <x:c r="B8" t="str">
        <x:v>P(stowed) between 0 and 1</x:v>
      </x:c>
      <x:c r="C8" t="str">
        <x:f>IF(AND('Hail_Site_Inputs'!$B$16&gt;=0,'Hail_Site_Inputs'!$B$16&lt;=1),"Pass","Fail")</x:f>
        <x:v>Pass</x:v>
      </x:c>
      <x:c r="D8" t="str">
        <x:v>High</x:v>
      </x:c>
      <x:c r="E8" t="str">
        <x:v>Model</x:v>
      </x:c>
      <x:c r="F8" t="str">
        <x:v>Formula check.</x:v>
      </x:c>
    </x:row>
    <x:row r="9">
      <x:c r="A9" t="str">
        <x:v>QA_CAP_RECONCILES</x:v>
      </x:c>
      <x:c r="B9" t="str">
        <x:v>Cap = physical × share × f × exposure</x:v>
      </x:c>
      <x:c r="C9" t="str">
        <x:f>IF(ABS('Hail_Site_Inputs'!$B$21-'Hail_Site_Inputs'!$B$10*'Hail_Site_Inputs'!$B$11*'Hail_Site_Inputs'!$B$12*'Hail_Site_Inputs'!$B$13)&lt;1,"Pass","Fail")</x:f>
        <x:v>Pass</x:v>
      </x:c>
      <x:c r="D9" t="str">
        <x:v>High</x:v>
      </x:c>
      <x:c r="E9" t="str">
        <x:v>Model</x:v>
      </x:c>
      <x:c r="F9" t="str">
        <x:v>Formula check.</x:v>
      </x:c>
    </x:row>
    <x:row r="10">
      <x:c r="A10" t="str">
        <x:v>QA_EAL_STATUS</x:v>
      </x:c>
      <x:c r="B10" t="str">
        <x:v>EAL label remains illustrative until AEP source is real</x:v>
      </x:c>
      <x:c r="C10" t="str">
        <x:v>Conditional</x:v>
      </x:c>
      <x:c r="D10" t="str">
        <x:v>High</x:v>
      </x:c>
      <x:c r="E10" t="str">
        <x:v>Reviewer</x:v>
      </x:c>
      <x:c r="F10" t="str">
        <x:v>Do not ship final EAL with placeholder AEP.</x:v>
      </x:c>
    </x:row>
    <x:row r="11">
      <x:c r="A11" t="str">
        <x:v>QA_TAIL_STATUS</x:v>
      </x:c>
      <x:c r="B11" t="str">
        <x:v>Tail/PML withheld unless hazard tail and curve uncertainty are sourced</x:v>
      </x:c>
      <x:c r="C11" t="str">
        <x:v>Withhold</x:v>
      </x:c>
      <x:c r="D11" t="str">
        <x:v>High</x:v>
      </x:c>
      <x:c r="E11" t="str">
        <x:v>Reviewer</x:v>
      </x:c>
      <x:c r="F11" t="str">
        <x:v>v1.1 still not a PML model.</x:v>
      </x:c>
    </x:row>
  </x:sheetData>
  <x:mergeCells>
    <x:mergeCell ref="A1:F1"/>
  </x:mergeCells>
  <x:conditionalFormatting sqref="C4:C11">
    <x:cfRule type="expression" dxfId="0" priority="1">
      <x:formula>C4="Pass"</x:formula>
    </x:cfRule>
    <x:cfRule type="expression" dxfId="1" priority="2">
      <x:formula>OR(C4="Needs user/source input",C4="Conditional",C4="Withhold")</x:formula>
    </x:cfRule>
    <x:cfRule type="expression" dxfId="2" priority="3">
      <x:formula>C4="Fail"</x:formula>
    </x:cfRule>
  </x:conditionalFormatting>
  <x:pageMargins left="0.7" right="0.7" top="0.75" bottom="0.75" header="0.3" footer="0.3"/>
  <x:tableParts count="1">
    <x:tablePart xmlns:r="http://schemas.openxmlformats.org/officeDocument/2006/relationships" r:id="R0ba6c5310f6f4617"/>
  </x:tableParts>
</x:worksheet>
</file>

<file path=xl/worksheets/sheet35.xml><?xml version="1.0" encoding="utf-8"?>
<x:worksheet xmlns:x="http://schemas.openxmlformats.org/spreadsheetml/2006/main">
  <x:sheetFormatPr defaultRowHeight="15"/>
  <x:cols>
    <x:col min="1" max="1" width="18" hidden="0" customWidth="1"/>
    <x:col min="2" max="2" width="28" hidden="0" customWidth="1"/>
    <x:col min="3" max="3" width="22" hidden="0" customWidth="1"/>
    <x:col min="4" max="4" width="26" hidden="0" customWidth="1"/>
    <x:col min="5" max="5" width="42" hidden="0" customWidth="1"/>
    <x:col min="6" max="6" width="40" hidden="0" customWidth="1"/>
  </x:cols>
  <x:sheetData>
    <x:row r="1">
      <x:c r="A1" s="170" t="str">
        <x:v>Hail × Solar v1.2 — Coverage and Failure-Unit Decision</x:v>
      </x:c>
      <x:c r="B1" s="24"/>
      <x:c r="C1" s="24"/>
      <x:c r="D1" s="24"/>
      <x:c r="E1" s="24"/>
      <x:c r="F1" s="24"/>
    </x:row>
    <x:row r="2">
      <x:c r="A2" s="148" t="str">
        <x:v>Purpose: document why v1 is a single-primary failure-unit damage code, while still explicitly reviewing the other solar subsystems.</x:v>
      </x:c>
      <x:c r="B2" s="24"/>
      <x:c r="C2" s="24"/>
      <x:c r="D2" s="24"/>
      <x:c r="E2" s="24"/>
      <x:c r="F2" s="24"/>
    </x:row>
    <x:row r="3">
      <x:c r="A3" s="24"/>
      <x:c r="B3" s="24"/>
      <x:c r="C3" s="24"/>
      <x:c r="D3" s="24"/>
      <x:c r="E3" s="24"/>
      <x:c r="F3" s="24"/>
    </x:row>
    <x:row r="4">
      <x:c r="A4" s="153" t="str">
        <x:v>Decision layer</x:v>
      </x:c>
      <x:c r="B4" s="153" t="str">
        <x:v>Rule</x:v>
      </x:c>
      <x:c r="C4" s="24"/>
      <x:c r="D4" s="24"/>
      <x:c r="E4" s="24"/>
      <x:c r="F4" s="24"/>
    </x:row>
    <x:row r="5">
      <x:c r="A5" s="156" t="str">
        <x:v>Project-management unit</x:v>
      </x:c>
      <x:c r="B5" s="94" t="str">
        <x:v>hazard × asset cell = HAIL_SOLAR</x:v>
      </x:c>
      <x:c r="C5" s="24"/>
      <x:c r="D5" s="24"/>
      <x:c r="E5" s="24"/>
      <x:c r="F5" s="24"/>
    </x:row>
    <x:row r="6">
      <x:c r="A6" s="156" t="str">
        <x:v>Curve-record unit</x:v>
      </x:c>
      <x:c r="B6" s="94" t="str">
        <x:v>failure-unit = PV_MODULE glass/cell damage inside PV_ARRAY</x:v>
      </x:c>
      <x:c r="C6" s="24"/>
      <x:c r="D6" s="24"/>
      <x:c r="E6" s="24"/>
      <x:c r="F6" s="24"/>
    </x:row>
    <x:row r="7">
      <x:c r="A7" s="156" t="str">
        <x:v>Value/reconciliation unit</x:v>
      </x:c>
      <x:c r="B7" s="94" t="str">
        <x:v>subsystem/component bucket from the valuation ledger</x:v>
      </x:c>
      <x:c r="C7" s="24"/>
      <x:c r="D7" s="24"/>
      <x:c r="E7" s="24"/>
      <x:c r="F7" s="24"/>
    </x:row>
    <x:row r="8">
      <x:c r="A8" s="156" t="str">
        <x:v>v1 modeling choice</x:v>
      </x:c>
      <x:c r="B8" s="94" t="str">
        <x:v>single primary nonzero curve; other subsystems reviewed and tagged DR≈0 / secondary / conditioner-only</x:v>
      </x:c>
      <x:c r="C8" s="24"/>
      <x:c r="D8" s="24"/>
      <x:c r="E8" s="24"/>
      <x:c r="F8" s="24"/>
    </x:row>
    <x:row r="9">
      <x:c r="A9" s="156" t="str">
        <x:v>Reason</x:v>
      </x:c>
      <x:c r="B9" s="94" t="str">
        <x:v>hail damage mechanism concentrates on exposed module front glass/cells; creating weak curves for every subsystem would add false precision</x:v>
      </x:c>
      <x:c r="C9" s="24"/>
      <x:c r="D9" s="24"/>
      <x:c r="E9" s="24"/>
      <x:c r="F9" s="24"/>
    </x:row>
    <x:row r="10">
      <x:c r="A10" s="24"/>
      <x:c r="B10" s="24"/>
      <x:c r="C10" s="24"/>
      <x:c r="D10" s="24"/>
      <x:c r="E10" s="24"/>
      <x:c r="F10" s="24"/>
    </x:row>
    <x:row r="11">
      <x:c r="A11" s="24"/>
      <x:c r="B11" s="24"/>
      <x:c r="C11" s="24"/>
      <x:c r="D11" s="24"/>
      <x:c r="E11" s="24"/>
      <x:c r="F11" s="24"/>
    </x:row>
    <x:row r="12">
      <x:c r="A12" s="157" t="str">
        <x:v>Subsystem</x:v>
      </x:c>
      <x:c r="B12" s="158" t="str">
        <x:v>Component / bucket</x:v>
      </x:c>
      <x:c r="C12" s="158" t="str">
        <x:v>v1 treatment</x:v>
      </x:c>
      <x:c r="D12" s="158" t="str">
        <x:v>Damage-code role</x:v>
      </x:c>
      <x:c r="E12" s="158" t="str">
        <x:v>Why / notes</x:v>
      </x:c>
      <x:c r="F12" s="159" t="str">
        <x:v>Future metadata signal</x:v>
      </x:c>
    </x:row>
    <x:row r="13">
      <x:c r="A13" s="160" t="str">
        <x:v>PV_ARRAY</x:v>
      </x:c>
      <x:c r="B13" s="161" t="str">
        <x:v>PV_MODULE glass/cell/front-side module</x:v>
      </x:c>
      <x:c r="C13" s="161" t="str">
        <x:v>Primary nonzero curve</x:v>
      </x:c>
      <x:c r="D13" s="161" t="str">
        <x:v>failure_unit.primary</x:v>
      </x:c>
      <x:c r="E13" s="161" t="str">
        <x:v>Direct hail impact mechanism; highest materiality; curve maps MESH diameter to module replacement DR.</x:v>
      </x:c>
      <x:c r="F13" s="162" t="str">
        <x:v>module_archetype, front_glass_thickness_mm, tempered_glass, glass_glass_vs_backsheet, hail_test_rating</x:v>
      </x:c>
    </x:row>
    <x:row r="14">
      <x:c r="A14" s="160" t="str">
        <x:v>MOUNTING</x:v>
      </x:c>
      <x:c r="B14" s="161" t="str">
        <x:v>TRACKER / FIXED_MOUNT / RACKING_STRUCTURE</x:v>
      </x:c>
      <x:c r="C14" s="161" t="str">
        <x:v>Conditioner / secondary</x:v>
      </x:c>
      <x:c r="D14" s="161" t="str">
        <x:v>conditioner + reviewed_secondary</x:v>
      </x:c>
      <x:c r="E14" s="161" t="str">
        <x:v>Tracker state changes module exposure; direct hail damage to steel/racking is usually secondary for v1.</x:v>
      </x:c>
      <x:c r="F14" s="162" t="str">
        <x:v>mounting_type, tracker_type, stow_state, stow_angle_deg, stow_trigger, stow_confirmation</x:v>
      </x:c>
    </x:row>
    <x:row r="15">
      <x:c r="A15" s="160" t="str">
        <x:v>INVERTER_SYSTEM</x:v>
      </x:c>
      <x:c r="B15" s="161" t="str">
        <x:v>INVERTER / COMBINER_BOX / DC_PROTECTION</x:v>
      </x:c>
      <x:c r="C15" s="161" t="str">
        <x:v>DR≈0 / optional secondary</x:v>
      </x:c>
      <x:c r="D15" s="161" t="str">
        <x:v>reviewed_DR_near_zero_v1</x:v>
      </x:c>
      <x:c r="E15" s="161" t="str">
        <x:v>Generally enclosed; direct hail is not the first-order failure mode unless exposed enclosures/skids are known.</x:v>
      </x:c>
      <x:c r="F15" s="162" t="str">
        <x:v>enclosure_rating, outdoor_exposure, skid/cabinet_protection</x:v>
      </x:c>
    </x:row>
    <x:row r="16">
      <x:c r="A16" s="160" t="str">
        <x:v>SUBSTATION</x:v>
      </x:c>
      <x:c r="B16" s="161" t="str">
        <x:v>TRANSFORMER_MAIN / SWITCHGEAR</x:v>
      </x:c>
      <x:c r="C16" s="161" t="str">
        <x:v>DR≈0 / optional secondary</x:v>
      </x:c>
      <x:c r="D16" s="161" t="str">
        <x:v>reviewed_DR_near_zero_v1</x:v>
      </x:c>
      <x:c r="E16" s="161" t="str">
        <x:v>Direct hail may damage housings/auxiliaries but not a dominant solar hail loss term in v1.</x:v>
      </x:c>
      <x:c r="F16" s="162" t="str">
        <x:v>transformer_siting, enclosure/protection, control-house exposure</x:v>
      </x:c>
    </x:row>
    <x:row r="17">
      <x:c r="A17" s="160" t="str">
        <x:v>SCADA</x:v>
      </x:c>
      <x:c r="B17" s="161" t="str">
        <x:v>MONITORING_SYSTEM / MET_STATION</x:v>
      </x:c>
      <x:c r="C17" s="161" t="str">
        <x:v>Optional secondary</x:v>
      </x:c>
      <x:c r="D17" s="161" t="str">
        <x:v>reviewed_secondary_low_materiality</x:v>
      </x:c>
      <x:c r="E17" s="161" t="str">
        <x:v>Exposed instruments can be damaged, but value share is usually low; include only if site evidence shows material exposure.</x:v>
      </x:c>
      <x:c r="F17" s="162" t="str">
        <x:v>met_station_type, sensor_exposure, cabinet_rating</x:v>
      </x:c>
    </x:row>
    <x:row r="18">
      <x:c r="A18" s="160" t="str">
        <x:v>ELECTRICAL_COLLECTION</x:v>
      </x:c>
      <x:c r="B18" s="161" t="str">
        <x:v>CABLE_DC / CABLE_AC</x:v>
      </x:c>
      <x:c r="C18" s="161" t="str">
        <x:v>DR≈0 for direct hail</x:v>
      </x:c>
      <x:c r="D18" s="161" t="str">
        <x:v>reviewed_DR_near_zero_v1</x:v>
      </x:c>
      <x:c r="E18" s="161" t="str">
        <x:v>Cables and trenches are not a direct hail-impact failure bucket in normal configuration.</x:v>
      </x:c>
      <x:c r="F18" s="162" t="str">
        <x:v>aboveground_cable_exposure if unusual</x:v>
      </x:c>
    </x:row>
    <x:row r="19">
      <x:c r="A19" s="160" t="str">
        <x:v>CIVIL_INFRA</x:v>
      </x:c>
      <x:c r="B19" s="161" t="str">
        <x:v>roads/fencing/site works</x:v>
      </x:c>
      <x:c r="C19" s="161" t="str">
        <x:v>DR≈0 for direct hail</x:v>
      </x:c>
      <x:c r="D19" s="161" t="str">
        <x:v>reviewed_DR_near_zero_v1</x:v>
      </x:c>
      <x:c r="E19" s="161" t="str">
        <x:v>Hail does not normally create first-order civil replacement loss.</x:v>
      </x:c>
      <x:c r="F19" s="162" t="str">
        <x:v>none unless special site conditions</x:v>
      </x:c>
    </x:row>
    <x:row r="20">
      <x:c r="A20" s="163" t="str">
        <x:v>FOUNDATION / SITE_DRAINAGE</x:v>
      </x:c>
      <x:c r="B20" s="164" t="str">
        <x:v>piles / drainage</x:v>
      </x:c>
      <x:c r="C20" s="164" t="str">
        <x:v>DR≈0 for direct hail</x:v>
      </x:c>
      <x:c r="D20" s="164" t="str">
        <x:v>reviewed_DR_near_zero_v1</x:v>
      </x:c>
      <x:c r="E20" s="164" t="str">
        <x:v>Not a direct hail failure mechanism; relevant for flood/wind/snow, not hail v1.</x:v>
      </x:c>
      <x:c r="F20" s="165" t="str">
        <x:v>foundation_type, drainage_capacity for other cells</x:v>
      </x:c>
    </x:row>
    <x:row r="21">
      <x:c r="A21" s="24"/>
      <x:c r="B21" s="24"/>
      <x:c r="C21" s="24"/>
      <x:c r="D21" s="24"/>
      <x:c r="E21" s="24"/>
      <x:c r="F21" s="24"/>
    </x:row>
    <x:row r="22">
      <x:c r="A22" s="171" t="str">
        <x:v>Key wording for the guide</x:v>
      </x:c>
      <x:c r="B22" s="24"/>
      <x:c r="C22" s="24"/>
      <x:c r="D22" s="24"/>
      <x:c r="E22" s="24"/>
      <x:c r="F22" s="24"/>
    </x:row>
    <x:row r="23">
      <x:c r="A23" s="94" t="str">
        <x:v>Hail × solar is single-primary-term, not whole-asset single-curve. The damage code returns a module/PV_ARRAY failure-unit damage ratio and leaves downstream valuation/metrics layers to apply it to the correct value bucket. Other solar subsystems are explicitly reviewed to preserve exhaustive reconciliation, but they are not forced into weak nonzero curves in v1.</x:v>
      </x:c>
      <x:c r="B23" s="24"/>
      <x:c r="C23" s="24"/>
      <x:c r="D23" s="24"/>
      <x:c r="E23" s="24"/>
      <x:c r="F23" s="24"/>
    </x:row>
    <x:row r="24">
      <x:c r="A24" s="24"/>
      <x:c r="B24" s="24"/>
      <x:c r="C24" s="24"/>
      <x:c r="D24" s="24"/>
      <x:c r="E24" s="24"/>
      <x:c r="F24" s="24"/>
    </x:row>
    <x:row r="25">
      <x:c r="A25" s="24"/>
      <x:c r="B25" s="24"/>
      <x:c r="C25" s="24"/>
      <x:c r="D25" s="24"/>
      <x:c r="E25" s="24"/>
      <x:c r="F25" s="24"/>
    </x:row>
    <x:row r="26">
      <x:c r="A26" s="24"/>
      <x:c r="B26" s="24"/>
      <x:c r="C26" s="24"/>
      <x:c r="D26" s="24"/>
      <x:c r="E26" s="24"/>
      <x:c r="F26" s="24"/>
    </x:row>
    <x:row r="27">
      <x:c r="A27" s="24"/>
      <x:c r="B27" s="24"/>
      <x:c r="C27" s="24"/>
      <x:c r="D27" s="24"/>
      <x:c r="E27" s="24"/>
      <x:c r="F27" s="24"/>
    </x:row>
    <x:row r="28">
      <x:c r="A28" s="24"/>
      <x:c r="B28" s="24"/>
      <x:c r="C28" s="24"/>
      <x:c r="D28" s="24"/>
      <x:c r="E28" s="24"/>
      <x:c r="F28" s="24"/>
    </x:row>
    <x:row r="29">
      <x:c r="A29" s="24"/>
      <x:c r="B29" s="24"/>
      <x:c r="C29" s="24"/>
      <x:c r="D29" s="24"/>
      <x:c r="E29" s="24"/>
      <x:c r="F29" s="24"/>
    </x:row>
    <x:row r="30">
      <x:c r="A30" s="24"/>
      <x:c r="B30" s="24"/>
      <x:c r="C30" s="24"/>
      <x:c r="D30" s="24"/>
      <x:c r="E30" s="24"/>
      <x:c r="F30" s="24"/>
    </x:row>
  </x:sheetData>
  <x:mergeCells>
    <x:mergeCell ref="A1:H1"/>
    <x:mergeCell ref="A2:H2"/>
    <x:mergeCell ref="A22:H22"/>
    <x:mergeCell ref="A23:H27"/>
  </x:mergeCells>
  <x:pageMargins left="0.7" right="0.7" top="0.75" bottom="0.75" header="0.3" footer="0.3"/>
  <x:tableParts count="1">
    <x:tablePart xmlns:r="http://schemas.openxmlformats.org/officeDocument/2006/relationships" r:id="R83569a2e055d45cf"/>
  </x:tableParts>
</x:worksheet>
</file>

<file path=xl/worksheets/sheet36.xml><?xml version="1.0" encoding="utf-8"?>
<x:worksheet xmlns:x="http://schemas.openxmlformats.org/spreadsheetml/2006/main">
  <x:sheetFormatPr defaultRowHeight="15"/>
  <x:cols>
    <x:col min="1" max="1" width="18" hidden="0" customWidth="1"/>
    <x:col min="2" max="2" width="25" hidden="0" customWidth="1"/>
    <x:col min="3" max="3" width="18" hidden="0" customWidth="1"/>
    <x:col min="4" max="4" width="28" hidden="0" customWidth="1"/>
    <x:col min="5" max="5" width="48" hidden="0" customWidth="1"/>
    <x:col min="6" max="6" width="30" hidden="0" customWidth="1"/>
  </x:cols>
  <x:sheetData>
    <x:row r="1">
      <x:c r="A1" s="144" t="str">
        <x:v>Hail × Solar v1.2 — Damage-Code Interface</x:v>
      </x:c>
    </x:row>
    <x:row r="2">
      <x:c r="A2" s="148" t="str">
        <x:v>Purpose: separate hazard input, fixed selectors, event-time conditioners, exposure geometry, value concentration, and outputs.</x:v>
      </x:c>
    </x:row>
    <x:row r="4">
      <x:c r="A4" s="169" t="str">
        <x:v>Interface principle</x:v>
      </x:c>
    </x:row>
    <x:row r="5">
      <x:c r="A5" s="94" t="str">
        <x:v>The damage-code layer should produce vulnerability outputs at the right failure-unit grain. It should not become the EAL engine. Hazard catalogs provide intensity; valuation ledgers provide dollars; the damage code provides DR and metadata flags.</x:v>
      </x:c>
    </x:row>
    <x:row r="10">
      <x:c r="A10" s="153" t="str">
        <x:v>Interface object</x:v>
      </x:c>
      <x:c r="B10" s="153" t="str">
        <x:v>Field</x:v>
      </x:c>
      <x:c r="C10" s="153" t="str">
        <x:v>Required?</x:v>
      </x:c>
      <x:c r="D10" s="153" t="str">
        <x:v>Example value</x:v>
      </x:c>
      <x:c r="E10" s="153" t="str">
        <x:v>Meaning</x:v>
      </x:c>
      <x:c r="F10" s="153" t="str">
        <x:v>Where it comes from</x:v>
      </x:c>
    </x:row>
    <x:row r="11">
      <x:c r="A11" s="94" t="str">
        <x:v>hazard_axis</x:v>
      </x:c>
      <x:c r="B11" s="94" t="str">
        <x:v>mesh_diameter_mm</x:v>
      </x:c>
      <x:c r="C11" s="94" t="str">
        <x:v>Yes</x:v>
      </x:c>
      <x:c r="D11" s="94" t="str">
        <x:v>50</x:v>
      </x:c>
      <x:c r="E11" s="94" t="str">
        <x:v>Primary operational hail x-axis: MESH-equivalent maximum hail diameter in mm.</x:v>
      </x:c>
      <x:c r="F11" s="94" t="str">
        <x:v>hazard catalog / NOAA/Vendor/MRMS</x:v>
      </x:c>
    </x:row>
    <x:row r="12">
      <x:c r="A12" s="94" t="str">
        <x:v>physics_bridge</x:v>
      </x:c>
      <x:c r="B12" s="94" t="str">
        <x:v>impact_ke_proxy_j</x:v>
      </x:c>
      <x:c r="C12" s="94" t="str">
        <x:v>Optional/derived</x:v>
      </x:c>
      <x:c r="D12" s="94" t="str">
        <x:v>computed</x:v>
      </x:c>
      <x:c r="E12" s="94" t="str">
        <x:v>Diameter → mass/velocity → per-stone impact-energy proxy; used for lab anchoring/sensitivity, not required native input.</x:v>
      </x:c>
      <x:c r="F12" s="94" t="str">
        <x:v>Axis_Bridges / derivation</x:v>
      </x:c>
    </x:row>
    <x:row r="13">
      <x:c r="A13" s="94" t="str">
        <x:v>selector</x:v>
      </x:c>
      <x:c r="B13" s="94" t="str">
        <x:v>module_archetype</x:v>
      </x:c>
      <x:c r="C13" s="94" t="str">
        <x:v>Yes unless exact specs available</x:v>
      </x:c>
      <x:c r="D13" s="94" t="str">
        <x:v>default_3_2mm_glass_backsheet</x:v>
      </x:c>
      <x:c r="E13" s="94" t="str">
        <x:v>Static equipment class that selects vulnerability curve family.</x:v>
      </x:c>
      <x:c r="F13" s="94" t="str">
        <x:v>asset metadata / inferred default</x:v>
      </x:c>
    </x:row>
    <x:row r="14">
      <x:c r="A14" s="94" t="str">
        <x:v>selector</x:v>
      </x:c>
      <x:c r="B14" s="94" t="str">
        <x:v>front_glass_thickness_mm</x:v>
      </x:c>
      <x:c r="C14" s="94" t="str">
        <x:v>Recommended</x:v>
      </x:c>
      <x:c r="D14" s="94" t="str">
        <x:v>3.2</x:v>
      </x:c>
      <x:c r="E14" s="94" t="str">
        <x:v>PV module front glass thickness; important hail vulnerability metadata.</x:v>
      </x:c>
      <x:c r="F14" s="94" t="str">
        <x:v>asset metadata / manufacturer data</x:v>
      </x:c>
    </x:row>
    <x:row r="15">
      <x:c r="A15" s="94" t="str">
        <x:v>selector</x:v>
      </x:c>
      <x:c r="B15" s="94" t="str">
        <x:v>tempered_glass</x:v>
      </x:c>
      <x:c r="C15" s="94" t="str">
        <x:v>Recommended</x:v>
      </x:c>
      <x:c r="D15" s="94" t="str">
        <x:v>TRUE</x:v>
      </x:c>
      <x:c r="E15" s="94" t="str">
        <x:v>Whether module front glass is tempered; hail-linked spec.</x:v>
      </x:c>
      <x:c r="F15" s="94" t="str">
        <x:v>asset metadata</x:v>
      </x:c>
    </x:row>
    <x:row r="16">
      <x:c r="A16" s="94" t="str">
        <x:v>selector</x:v>
      </x:c>
      <x:c r="B16" s="94" t="str">
        <x:v>glass_glass_vs_backsheet</x:v>
      </x:c>
      <x:c r="C16" s="94" t="str">
        <x:v>Recommended</x:v>
      </x:c>
      <x:c r="D16" s="94" t="str">
        <x:v>glass_backsheet</x:v>
      </x:c>
      <x:c r="E16" s="94" t="str">
        <x:v>Module construction family; helps choose archetype.</x:v>
      </x:c>
      <x:c r="F16" s="94" t="str">
        <x:v>asset metadata</x:v>
      </x:c>
    </x:row>
    <x:row r="17">
      <x:c r="A17" s="94" t="str">
        <x:v>conditioner</x:v>
      </x:c>
      <x:c r="B17" s="94" t="str">
        <x:v>mounting_type</x:v>
      </x:c>
      <x:c r="C17" s="94" t="str">
        <x:v>Yes</x:v>
      </x:c>
      <x:c r="D17" s="94" t="str">
        <x:v>single_axis_tracker</x:v>
      </x:c>
      <x:c r="E17" s="94" t="str">
        <x:v>Determines whether stow logic applies.</x:v>
      </x:c>
      <x:c r="F17" s="94" t="str">
        <x:v>asset metadata</x:v>
      </x:c>
    </x:row>
    <x:row r="18">
      <x:c r="A18" s="94" t="str">
        <x:v>conditioner</x:v>
      </x:c>
      <x:c r="B18" s="94" t="str">
        <x:v>stow_state</x:v>
      </x:c>
      <x:c r="C18" s="94" t="str">
        <x:v>Conditional</x:v>
      </x:c>
      <x:c r="D18" s="94" t="str">
        <x:v>unknown_probabilistic</x:v>
      </x:c>
      <x:c r="E18" s="94" t="str">
        <x:v>Event-time tracker state: stowed, unstowed, unknown/probabilistic, not_applicable.</x:v>
      </x:c>
      <x:c r="F18" s="94" t="str">
        <x:v>operations/SCADA/event assumptions</x:v>
      </x:c>
    </x:row>
    <x:row r="19">
      <x:c r="A19" s="94" t="str">
        <x:v>conditioner</x:v>
      </x:c>
      <x:c r="B19" s="94" t="str">
        <x:v>stow_angle_deg</x:v>
      </x:c>
      <x:c r="C19" s="94" t="str">
        <x:v>Conditional</x:v>
      </x:c>
      <x:c r="D19" s="94" t="str">
        <x:v>60</x:v>
      </x:c>
      <x:c r="E19" s="94" t="str">
        <x:v>Protective tracker angle if stowed; changes effective impact exposure.</x:v>
      </x:c>
      <x:c r="F19" s="94" t="str">
        <x:v>operations/SCADA/design</x:v>
      </x:c>
    </x:row>
    <x:row r="20">
      <x:c r="A20" s="94" t="str">
        <x:v>conditioner</x:v>
      </x:c>
      <x:c r="B20" s="94" t="str">
        <x:v>stow_success_probability</x:v>
      </x:c>
      <x:c r="C20" s="94" t="str">
        <x:v>Optional</x:v>
      </x:c>
      <x:c r="D20" s="94" t="str">
        <x:v>0.60</x:v>
      </x:c>
      <x:c r="E20" s="94" t="str">
        <x:v>P(stowed | damaging hail arrives), used only when actual state is unknown.</x:v>
      </x:c>
      <x:c r="F20" s="94" t="str">
        <x:v>scenario assumption / operations model</x:v>
      </x:c>
    </x:row>
    <x:row r="21">
      <x:c r="A21" s="94" t="str">
        <x:v>exposure_geometry</x:v>
      </x:c>
      <x:c r="B21" s="94" t="str">
        <x:v>array_exposure_fraction</x:v>
      </x:c>
      <x:c r="C21" s="94" t="str">
        <x:v>Optional</x:v>
      </x:c>
      <x:c r="D21" s="94" t="str">
        <x:v>1.00</x:v>
      </x:c>
      <x:c r="E21" s="94" t="str">
        <x:v>Fraction of PV_ARRAY footprint hit by damaging hail swath.</x:v>
      </x:c>
      <x:c r="F21" s="94" t="str">
        <x:v>hazard footprint overlay / scenario</x:v>
      </x:c>
    </x:row>
    <x:row r="22">
      <x:c r="A22" s="94" t="str">
        <x:v>value_concentration</x:v>
      </x:c>
      <x:c r="B22" s="94" t="str">
        <x:v>f_hail_material_share</x:v>
      </x:c>
      <x:c r="C22" s="94" t="str">
        <x:v>Yes for loss application</x:v>
      </x:c>
      <x:c r="D22" s="94" t="str">
        <x:v>0.75</x:v>
      </x:c>
      <x:c r="E22" s="94" t="str">
        <x:v>Share of PV_ARRAY value exposed to module glass/cell replacement damage; sets cap.</x:v>
      </x:c>
      <x:c r="F22" s="94" t="str">
        <x:v>valuation/value-link model</x:v>
      </x:c>
    </x:row>
    <x:row r="23">
      <x:c r="A23" s="94" t="str">
        <x:v>output</x:v>
      </x:c>
      <x:c r="B23" s="94" t="str">
        <x:v>failure_unit_damage_ratio</x:v>
      </x:c>
      <x:c r="C23" s="94" t="str">
        <x:v>Yes</x:v>
      </x:c>
      <x:c r="D23" s="94" t="str">
        <x:v>DR_module</x:v>
      </x:c>
      <x:c r="E23" s="94" t="str">
        <x:v>Damage ratio for PV_MODULE glass/cell failure-unit.</x:v>
      </x:c>
      <x:c r="F23" s="94" t="str">
        <x:v>damage code</x:v>
      </x:c>
    </x:row>
    <x:row r="24">
      <x:c r="A24" s="94" t="str">
        <x:v>output</x:v>
      </x:c>
      <x:c r="B24" s="94" t="str">
        <x:v>subsystem_loss_fraction</x:v>
      </x:c>
      <x:c r="C24" s="94" t="str">
        <x:v>Optional</x:v>
      </x:c>
      <x:c r="D24" s="94" t="str">
        <x:v>PV_ARRAY loss %</x:v>
      </x:c>
      <x:c r="E24" s="94" t="str">
        <x:v>Only if value inputs are supplied; otherwise downstream valuation layer computes it.</x:v>
      </x:c>
      <x:c r="F24" s="94" t="str">
        <x:v>damage code + value link</x:v>
      </x:c>
    </x:row>
    <x:row r="25">
      <x:c r="A25" s="94" t="str">
        <x:v>output</x:v>
      </x:c>
      <x:c r="B25" s="94" t="str">
        <x:v>metadata_flags</x:v>
      </x:c>
      <x:c r="C25" s="94" t="str">
        <x:v>Yes</x:v>
      </x:c>
      <x:c r="D25" s="94" t="str">
        <x:v>cap_sensitive; stow_unknown</x:v>
      </x:c>
      <x:c r="E25" s="94" t="str">
        <x:v>Flags assumptions/open seams for governance.</x:v>
      </x:c>
      <x:c r="F25" s="94" t="str">
        <x:v>damage code</x:v>
      </x:c>
    </x:row>
    <x:row r="28">
      <x:c r="A28" s="169" t="str">
        <x:v>Core pseudocode</x:v>
      </x:c>
    </x:row>
    <x:row r="29">
      <x:c r="A29" s="175" t="str">
        <x:v>damage_code_id: HAIL_SOLAR_PV_MODULE_V1
hazard_axis:
  input_field: mesh_diameter_mm
  unit: mm
failure_unit:
  subsystem: PV_ARRAY
  component: PV_MODULE
  grain: module_glass_cell
  curve: mesh_mm_to_module_replacement_dr
selectors:
  module_archetype
  front_glass_thickness_mm
  tempered_glass
  glass_glass_vs_backsheet
conditioners:
  mounting_type
  stow_state
  stow_angle_deg
  stow_success_probability_optional
outputs:
  failure_unit_damage_ratio
  metadata_flags
  reviewed_secondary_units</x:v>
      </x:c>
    </x:row>
  </x:sheetData>
  <x:mergeCells>
    <x:mergeCell ref="A1:H1"/>
    <x:mergeCell ref="A2:H2"/>
    <x:mergeCell ref="A4:H4"/>
    <x:mergeCell ref="A5:H8"/>
    <x:mergeCell ref="A28:H28"/>
    <x:mergeCell ref="A29:H46"/>
  </x:mergeCells>
  <x:pageMargins left="0.7" right="0.7" top="0.75" bottom="0.75" header="0.3" footer="0.3"/>
  <x:tableParts count="1">
    <x:tablePart xmlns:r="http://schemas.openxmlformats.org/officeDocument/2006/relationships" r:id="R1340d975c4964627"/>
  </x:tableParts>
</x:worksheet>
</file>

<file path=xl/worksheets/sheet37.xml><?xml version="1.0" encoding="utf-8"?>
<x:worksheet xmlns:x="http://schemas.openxmlformats.org/spreadsheetml/2006/main">
  <x:sheetFormatPr defaultRowHeight="15"/>
  <x:cols>
    <x:col min="1" max="1" width="22" hidden="0" customWidth="1"/>
    <x:col min="2" max="2" width="38" hidden="0" customWidth="1"/>
    <x:col min="3" max="3" width="42" hidden="0" customWidth="1"/>
    <x:col min="4" max="4" width="42" hidden="0" customWidth="1"/>
    <x:col min="5" max="5" width="42" hidden="0" customWidth="1"/>
  </x:cols>
  <x:sheetData>
    <x:row r="1">
      <x:c r="A1" s="144" t="str">
        <x:v>Selector / Conditioner / Exposure Map — Hail × Solar and Future Cells</x:v>
      </x:c>
    </x:row>
    <x:row r="2">
      <x:c r="A2" s="148" t="str">
        <x:v>Purpose: document the metadata pattern that should repeat for future hazard × asset damage codes.</x:v>
      </x:c>
    </x:row>
    <x:row r="4">
      <x:c r="A4" s="153" t="str">
        <x:v>Type</x:v>
      </x:c>
      <x:c r="B4" s="153" t="str">
        <x:v>Plain-English meaning</x:v>
      </x:c>
      <x:c r="C4" s="153" t="str">
        <x:v>Hail × solar example</x:v>
      </x:c>
      <x:c r="D4" s="153" t="str">
        <x:v>Flood × solar contrast</x:v>
      </x:c>
      <x:c r="E4" s="153" t="str">
        <x:v>Wind × wind contrast</x:v>
      </x:c>
    </x:row>
    <x:row r="5">
      <x:c r="A5" s="94" t="str">
        <x:v>Hazard input</x:v>
      </x:c>
      <x:c r="B5" s="94" t="str">
        <x:v>What the hazard catalog gives the damage code.</x:v>
      </x:c>
      <x:c r="C5" s="94" t="str">
        <x:v>mesh_diameter_mm / MESH-equivalent size</x:v>
      </x:c>
      <x:c r="D5" s="94" t="str">
        <x:v>flood_depth_m; velocity_mps</x:v>
      </x:c>
      <x:c r="E5" s="94" t="str">
        <x:v>gust_speed_mps / tornado intensity</x:v>
      </x:c>
    </x:row>
    <x:row r="6">
      <x:c r="A6" s="94" t="str">
        <x:v>Selector</x:v>
      </x:c>
      <x:c r="B6" s="94" t="str">
        <x:v>Fixed asset attribute that chooses or shifts the curve family.</x:v>
      </x:c>
      <x:c r="C6" s="94" t="str">
        <x:v>module_archetype; glass_thickness; tempered_glass</x:v>
      </x:c>
      <x:c r="D6" s="94" t="str">
        <x:v>pad_height; IP/NEMA rating; equipment type</x:v>
      </x:c>
      <x:c r="E6" s="94" t="str">
        <x:v>turbine_class; hub_height; rotor_diameter; survival wind speed</x:v>
      </x:c>
    </x:row>
    <x:row r="7">
      <x:c r="A7" s="94" t="str">
        <x:v>Conditioner</x:v>
      </x:c>
      <x:c r="B7" s="94" t="str">
        <x:v>Event-time state that shifts the curve.</x:v>
      </x:c>
      <x:c r="C7" s="94" t="str">
        <x:v>stow_state; stow_angle; stow_success_probability</x:v>
      </x:c>
      <x:c r="D7" s="94" t="str">
        <x:v>energized_state; flood defense deployed</x:v>
      </x:c>
      <x:c r="E7" s="94" t="str">
        <x:v>feathered_state; brake_status; yaw_alignment</x:v>
      </x:c>
    </x:row>
    <x:row r="8">
      <x:c r="A8" s="94" t="str">
        <x:v>Exposure geometry</x:v>
      </x:c>
      <x:c r="B8" s="94" t="str">
        <x:v>How much of the value bucket is actually exposed.</x:v>
      </x:c>
      <x:c r="C8" s="94" t="str">
        <x:v>array_exposure_fraction</x:v>
      </x:c>
      <x:c r="D8" s="94" t="str">
        <x:v>equipment_below_waterline; depth above pad</x:v>
      </x:c>
      <x:c r="E8" s="94" t="str">
        <x:v>turbines_in_swath_fraction</x:v>
      </x:c>
    </x:row>
    <x:row r="9">
      <x:c r="A9" s="94" t="str">
        <x:v>Value concentration f</x:v>
      </x:c>
      <x:c r="B9" s="94" t="str">
        <x:v>Share of the value bucket the failure mechanism can touch.</x:v>
      </x:c>
      <x:c r="C9" s="94" t="str">
        <x:v>material-share: module glass/cell exposed value</x:v>
      </x:c>
      <x:c r="D9" s="94" t="str">
        <x:v>geometry/elevation share, not material share</x:v>
      </x:c>
      <x:c r="E9" s="94" t="str">
        <x:v>component share: blade/nacelle/tower value buckets</x:v>
      </x:c>
    </x:row>
    <x:row r="12">
      <x:c r="A12" s="169" t="str">
        <x:v>ASCII model</x:v>
      </x:c>
    </x:row>
    <x:row r="13">
      <x:c r="A13" s="175" t="str">
        <x:v>hazard input
   │
   ▼
base damage curve
   │
   ├─ selector: fixed asset attribute
   │      e.g., module archetype / turbine class / IP rating
   │
   ├─ conditioner: event-time state
   │      e.g., stow state / energized state / feathered state
   │
   ├─ exposure geometry
   │      e.g., footprint hit / below-waterline / turbines in swath
   │
   └─ value concentration f
          e.g., material share / geometry share / component share</x:v>
      </x:c>
    </x:row>
  </x:sheetData>
  <x:mergeCells>
    <x:mergeCell ref="A1:H1"/>
    <x:mergeCell ref="A2:H2"/>
    <x:mergeCell ref="A12:E12"/>
    <x:mergeCell ref="A13:E25"/>
  </x:mergeCells>
  <x:pageMargins left="0.7" right="0.7" top="0.75" bottom="0.75" header="0.3" footer="0.3"/>
  <x:tableParts count="1">
    <x:tablePart xmlns:r="http://schemas.openxmlformats.org/officeDocument/2006/relationships" r:id="Read123cdda084e02"/>
  </x:tableParts>
</x:worksheet>
</file>

<file path=xl/worksheets/sheet38.xml><?xml version="1.0" encoding="utf-8"?>
<x:worksheet xmlns:x="http://schemas.openxmlformats.org/spreadsheetml/2006/main">
  <x:sheetFormatPr defaultRowHeight="15"/>
  <x:cols>
    <x:col min="1" max="1" width="18" hidden="0" customWidth="1"/>
    <x:col min="2" max="2" width="24" hidden="0" customWidth="1"/>
    <x:col min="3" max="3" width="44" hidden="0" customWidth="1"/>
    <x:col min="4" max="4" width="44" hidden="0" customWidth="1"/>
    <x:col min="5" max="5" width="22" hidden="0" customWidth="1"/>
    <x:col min="6" max="6" width="36" hidden="0" customWidth="1"/>
    <x:col min="7" max="7" width="22" hidden="0" customWidth="1"/>
    <x:col min="8" max="8" width="32" hidden="0" customWidth="1"/>
  </x:cols>
  <x:sheetData>
    <x:row r="1" ht="28" customHeight="1">
      <x:c r="A1" s="214" t="str">
        <x:v>Hail × Solar v1.3 — Curve Derivation Index</x:v>
      </x:c>
      <x:c r="B1" s="94"/>
      <x:c r="C1" s="94"/>
      <x:c r="D1" s="94"/>
      <x:c r="E1" s="94"/>
      <x:c r="F1" s="94"/>
      <x:c r="G1" s="94"/>
      <x:c r="H1" s="94"/>
      <x:c r="I1" s="94"/>
      <x:c r="J1" s="94"/>
    </x:row>
    <x:row r="2" ht="42" customHeight="1">
      <x:c r="A2" s="198" t="str">
        <x:v>This sheet tells reviewers exactly where the curve proof lives. v1.3 adds a formal derivation dossier, evidence-to-parameter map, base-curve fit audit, selector/conditioner adjustment rules, and an assumption register.</x:v>
      </x:c>
      <x:c r="B2" s="94"/>
      <x:c r="C2" s="94"/>
      <x:c r="D2" s="94"/>
      <x:c r="E2" s="94"/>
      <x:c r="F2" s="94"/>
      <x:c r="G2" s="94"/>
      <x:c r="H2" s="94"/>
      <x:c r="I2" s="94"/>
      <x:c r="J2" s="94"/>
    </x:row>
    <x:row r="3">
      <x:c r="A3" s="94"/>
      <x:c r="B3" s="94"/>
      <x:c r="C3" s="94"/>
      <x:c r="D3" s="94"/>
      <x:c r="E3" s="94"/>
      <x:c r="F3" s="94"/>
      <x:c r="G3" s="94"/>
      <x:c r="H3" s="94"/>
      <x:c r="I3" s="94"/>
      <x:c r="J3" s="94"/>
    </x:row>
    <x:row r="4">
      <x:c r="A4" s="215" t="str">
        <x:v>Artifact / sheet</x:v>
      </x:c>
      <x:c r="B4" s="215" t="str">
        <x:v>Role</x:v>
      </x:c>
      <x:c r="C4" s="215" t="str">
        <x:v>What a reviewer can verify</x:v>
      </x:c>
      <x:c r="D4" s="215" t="str">
        <x:v>Key question answered</x:v>
      </x:c>
      <x:c r="E4" s="215" t="str">
        <x:v>Status</x:v>
      </x:c>
      <x:c r="F4" s="215" t="str">
        <x:v>Primary caveat</x:v>
      </x:c>
      <x:c r="G4" s="215" t="str">
        <x:v>Owner</x:v>
      </x:c>
      <x:c r="H4" s="215" t="str">
        <x:v>Version</x:v>
      </x:c>
      <x:c r="I4" s="94"/>
      <x:c r="J4" s="94"/>
    </x:row>
    <x:row r="5">
      <x:c r="A5" s="94" t="str">
        <x:v>hail_solar_curve_derivation_dossier_v1_3.md</x:v>
      </x:c>
      <x:c r="B5" s="94" t="str">
        <x:v>Narrative proof dossier</x:v>
      </x:c>
      <x:c r="C5" s="94" t="str">
        <x:v>Full reasoning, source usage, formulas, selector/conditioner logic, and open seams.</x:v>
      </x:c>
      <x:c r="D5" s="94" t="str">
        <x:v>How exactly was the hail curve curated?</x:v>
      </x:c>
      <x:c r="E5" s="94" t="str">
        <x:v>Required / current</x:v>
      </x:c>
      <x:c r="F5" s="94" t="str">
        <x:v>Public-source derived; not private claims-calibrated.</x:v>
      </x:c>
      <x:c r="G5" s="94" t="str">
        <x:v>Damage curve library</x:v>
      </x:c>
      <x:c r="H5" s="94" t="str">
        <x:v>v1.3</x:v>
      </x:c>
      <x:c r="I5" s="94"/>
      <x:c r="J5" s="94"/>
    </x:row>
    <x:row r="6">
      <x:c r="A6" s="94" t="str">
        <x:v>Hail_Evidence_Params</x:v>
      </x:c>
      <x:c r="B6" s="94" t="str">
        <x:v>Evidence-to-parameter map</x:v>
      </x:c>
      <x:c r="C6" s="94" t="str">
        <x:v>Which evidence item supports which curve parameter or rule.</x:v>
      </x:c>
      <x:c r="D6" s="94" t="str">
        <x:v>Which source supports each number?</x:v>
      </x:c>
      <x:c r="E6" s="94" t="str">
        <x:v>Required / current</x:v>
      </x:c>
      <x:c r="F6" s="94" t="str">
        <x:v>Some sources are soft anchors, not hard observations.</x:v>
      </x:c>
      <x:c r="G6" s="94" t="str">
        <x:v>Damage curve library</x:v>
      </x:c>
      <x:c r="H6" s="94" t="str">
        <x:v>v1.3</x:v>
      </x:c>
      <x:c r="I6" s="94"/>
      <x:c r="J6" s="94"/>
    </x:row>
    <x:row r="7">
      <x:c r="A7" s="94" t="str">
        <x:v>Hail_Base_Curve_Fit</x:v>
      </x:c>
      <x:c r="B7" s="94" t="str">
        <x:v>Base curve fit audit</x:v>
      </x:c>
      <x:c r="C7" s="94" t="str">
        <x:v>Logistic form, anchors, k/D50 calculation, and anchor caveats.</x:v>
      </x:c>
      <x:c r="D7" s="94" t="str">
        <x:v>How did anchors become D50/k?</x:v>
      </x:c>
      <x:c r="E7" s="94" t="str">
        <x:v>Required / current</x:v>
      </x:c>
      <x:c r="F7" s="94" t="str">
        <x:v>Default/hardened use sparse public anchors.</x:v>
      </x:c>
      <x:c r="G7" s="94" t="str">
        <x:v>Damage curve library</x:v>
      </x:c>
      <x:c r="H7" s="94" t="str">
        <x:v>v1.3</x:v>
      </x:c>
      <x:c r="I7" s="94"/>
      <x:c r="J7" s="94"/>
    </x:row>
    <x:row r="8">
      <x:c r="A8" s="94" t="str">
        <x:v>Hail_Adjustment_Rules</x:v>
      </x:c>
      <x:c r="B8" s="94" t="str">
        <x:v>Selector/conditioner logic</x:v>
      </x:c>
      <x:c r="C8" s="94" t="str">
        <x:v>When to create a new curve vs shift/blend/multiply existing curves.</x:v>
      </x:c>
      <x:c r="D8" s="94" t="str">
        <x:v>How do module archetype and stow tweak the curve?</x:v>
      </x:c>
      <x:c r="E8" s="94" t="str">
        <x:v>Required / current</x:v>
      </x:c>
      <x:c r="F8" s="94" t="str">
        <x:v>Stow adjustment is a placeholder until asset-specific testing.</x:v>
      </x:c>
      <x:c r="G8" s="94" t="str">
        <x:v>Damage curve library</x:v>
      </x:c>
      <x:c r="H8" s="94" t="str">
        <x:v>v1.3</x:v>
      </x:c>
      <x:c r="I8" s="94"/>
      <x:c r="J8" s="94"/>
    </x:row>
    <x:row r="9">
      <x:c r="A9" s="94" t="str">
        <x:v>Hail_Variant_Catalog</x:v>
      </x:c>
      <x:c r="B9" s="94" t="str">
        <x:v>Curve variant catalog</x:v>
      </x:c>
      <x:c r="C9" s="94" t="str">
        <x:v>All variants used by v1.3: fragile, default, hardened, stowed, probabilistic.</x:v>
      </x:c>
      <x:c r="D9" s="94" t="str">
        <x:v>Do we have all module archetype versions?</x:v>
      </x:c>
      <x:c r="E9" s="94" t="str">
        <x:v>Required / current</x:v>
      </x:c>
      <x:c r="F9" s="94" t="str">
        <x:v>Archetype curves are not BOM-specific warranties.</x:v>
      </x:c>
      <x:c r="G9" s="94" t="str">
        <x:v>Damage curve library</x:v>
      </x:c>
      <x:c r="H9" s="94" t="str">
        <x:v>v1.3</x:v>
      </x:c>
      <x:c r="I9" s="94"/>
      <x:c r="J9" s="94"/>
    </x:row>
    <x:row r="10">
      <x:c r="A10" s="94" t="str">
        <x:v>Hail_Assumption_Register</x:v>
      </x:c>
      <x:c r="B10" s="94" t="str">
        <x:v>Assumption register</x:v>
      </x:c>
      <x:c r="C10" s="94" t="str">
        <x:v>Load-bearing assumptions, confidence, and replacement triggers.</x:v>
      </x:c>
      <x:c r="D10" s="94" t="str">
        <x:v>What assumptions would change the curve?</x:v>
      </x:c>
      <x:c r="E10" s="94" t="str">
        <x:v>Required / current</x:v>
      </x:c>
      <x:c r="F10" s="94" t="str">
        <x:v>Several assumptions remain placeholders by design.</x:v>
      </x:c>
      <x:c r="G10" s="94" t="str">
        <x:v>Damage curve library</x:v>
      </x:c>
      <x:c r="H10" s="94" t="str">
        <x:v>v1.3</x:v>
      </x:c>
      <x:c r="I10" s="94"/>
      <x:c r="J10" s="94"/>
    </x:row>
    <x:row r="11">
      <x:c r="A11" s="94" t="str">
        <x:v>Hail_Solar_Coverage</x:v>
      </x:c>
      <x:c r="B11" s="94" t="str">
        <x:v>Coverage table</x:v>
      </x:c>
      <x:c r="C11" s="94" t="str">
        <x:v>Primary, conditioner-only, secondary, and DR≈0 subsystem treatment.</x:v>
      </x:c>
      <x:c r="D11" s="94" t="str">
        <x:v>Why only one primary nonzero curve?</x:v>
      </x:c>
      <x:c r="E11" s="94" t="str">
        <x:v>Existing / v1.2</x:v>
      </x:c>
      <x:c r="F11" s="94" t="str">
        <x:v>Secondary equipment direct-hail curves are not modeled in v1.</x:v>
      </x:c>
      <x:c r="G11" s="94" t="str">
        <x:v>Damage curve library</x:v>
      </x:c>
      <x:c r="H11" s="94" t="str">
        <x:v>v1.2</x:v>
      </x:c>
      <x:c r="I11" s="94"/>
      <x:c r="J11" s="94"/>
    </x:row>
    <x:row r="12">
      <x:c r="A12" s="94" t="str">
        <x:v>Damage_Code_Interface</x:v>
      </x:c>
      <x:c r="B12" s="94" t="str">
        <x:v>Damage-code contract</x:v>
      </x:c>
      <x:c r="C12" s="94" t="str">
        <x:v>Inputs, outputs, selectors, conditioners, exposure variables.</x:v>
      </x:c>
      <x:c r="D12" s="94" t="str">
        <x:v>What should a downstream engine consume?</x:v>
      </x:c>
      <x:c r="E12" s="94" t="str">
        <x:v>Existing / v1.2</x:v>
      </x:c>
      <x:c r="F12" s="94" t="str">
        <x:v>Financial metrics belong downstream.</x:v>
      </x:c>
      <x:c r="G12" s="94" t="str">
        <x:v>Damage curve library</x:v>
      </x:c>
      <x:c r="H12" s="94" t="str">
        <x:v>v1.2</x:v>
      </x:c>
      <x:c r="I12" s="94"/>
      <x:c r="J12" s="94"/>
    </x:row>
    <x:row r="13">
      <x:c r="A13" s="94"/>
      <x:c r="B13" s="94"/>
      <x:c r="C13" s="94"/>
      <x:c r="D13" s="94"/>
      <x:c r="E13" s="94"/>
      <x:c r="F13" s="94"/>
      <x:c r="G13" s="94"/>
      <x:c r="H13" s="94"/>
      <x:c r="I13" s="94"/>
      <x:c r="J13" s="94"/>
    </x:row>
    <x:row r="14">
      <x:c r="A14" s="216" t="str">
        <x:v>ASCII summary</x:v>
      </x:c>
      <x:c r="B14" s="94"/>
      <x:c r="C14" s="94"/>
      <x:c r="D14" s="94"/>
      <x:c r="E14" s="94"/>
      <x:c r="F14" s="94"/>
      <x:c r="G14" s="94"/>
      <x:c r="H14" s="94"/>
      <x:c r="I14" s="94"/>
      <x:c r="J14" s="94"/>
    </x:row>
    <x:row r="15" ht="16" customHeight="1">
      <x:c r="A15" s="211" t="str">
        <x:v>hazard catalog / provider
    MESH-equivalent hail diameter D (mm)
        │
        ▼
base evidence-derived curve
    P_break(D) = 1 / (1 + exp(-k × (D - D50)))
        │
        ├─ selector: module archetype / glass construction
        │      fragile → default → hardened curve family
        │
        ├─ conditioner: tracker stow state
        │      unstowed / stowed / probability-weighted
        │
        ├─ exposure: fraction of PV array hit by hail swath
        │
        ▼
failure_unit_damage_ratio
    PV_MODULE glass/cell replacement DR
        │
        ▼
optional value-linked reporting
    PV_ARRAY loss % → physical-base loss % → %TIV</x:v>
      </x:c>
      <x:c r="B15" s="94"/>
      <x:c r="C15" s="94"/>
      <x:c r="D15" s="94"/>
      <x:c r="E15" s="94"/>
      <x:c r="F15" s="94"/>
      <x:c r="G15" s="94"/>
      <x:c r="H15" s="94"/>
      <x:c r="I15" s="94"/>
      <x:c r="J15" s="94"/>
    </x:row>
    <x:row r="16" ht="16" customHeight="1">
      <x:c r="A16" s="94"/>
      <x:c r="B16" s="94"/>
      <x:c r="C16" s="94"/>
      <x:c r="D16" s="94"/>
      <x:c r="E16" s="94"/>
      <x:c r="F16" s="94"/>
      <x:c r="G16" s="94"/>
      <x:c r="H16" s="94"/>
      <x:c r="I16" s="94"/>
      <x:c r="J16" s="94"/>
    </x:row>
    <x:row r="17" ht="16" customHeight="1">
      <x:c r="A17" s="94"/>
      <x:c r="B17" s="94"/>
      <x:c r="C17" s="94"/>
      <x:c r="D17" s="94"/>
      <x:c r="E17" s="94"/>
      <x:c r="F17" s="94"/>
      <x:c r="G17" s="94"/>
      <x:c r="H17" s="94"/>
      <x:c r="I17" s="94"/>
      <x:c r="J17" s="94"/>
    </x:row>
    <x:row r="18" ht="16" customHeight="1">
      <x:c r="A18" s="94"/>
      <x:c r="B18" s="94"/>
      <x:c r="C18" s="94"/>
      <x:c r="D18" s="94"/>
      <x:c r="E18" s="94"/>
      <x:c r="F18" s="94"/>
      <x:c r="G18" s="94"/>
      <x:c r="H18" s="94"/>
      <x:c r="I18" s="94"/>
      <x:c r="J18" s="94"/>
    </x:row>
    <x:row r="19" ht="16" customHeight="1">
      <x:c r="A19" s="94"/>
      <x:c r="B19" s="94"/>
      <x:c r="C19" s="94"/>
      <x:c r="D19" s="94"/>
      <x:c r="E19" s="94"/>
      <x:c r="F19" s="94"/>
      <x:c r="G19" s="94"/>
      <x:c r="H19" s="94"/>
      <x:c r="I19" s="94"/>
      <x:c r="J19" s="94"/>
    </x:row>
    <x:row r="20" ht="16" customHeight="1">
      <x:c r="A20" s="94"/>
      <x:c r="B20" s="94"/>
      <x:c r="C20" s="94"/>
      <x:c r="D20" s="94"/>
      <x:c r="E20" s="94"/>
      <x:c r="F20" s="94"/>
      <x:c r="G20" s="94"/>
      <x:c r="H20" s="94"/>
      <x:c r="I20" s="94"/>
      <x:c r="J20" s="94"/>
    </x:row>
    <x:row r="21" ht="16" customHeight="1">
      <x:c r="A21" s="94"/>
      <x:c r="B21" s="94"/>
      <x:c r="C21" s="94"/>
      <x:c r="D21" s="94"/>
      <x:c r="E21" s="94"/>
      <x:c r="F21" s="94"/>
      <x:c r="G21" s="94"/>
      <x:c r="H21" s="94"/>
      <x:c r="I21" s="94"/>
      <x:c r="J21" s="94"/>
    </x:row>
    <x:row r="22" ht="16" customHeight="1">
      <x:c r="A22" s="94"/>
      <x:c r="B22" s="94"/>
      <x:c r="C22" s="94"/>
      <x:c r="D22" s="94"/>
      <x:c r="E22" s="94"/>
      <x:c r="F22" s="94"/>
      <x:c r="G22" s="94"/>
      <x:c r="H22" s="94"/>
      <x:c r="I22" s="94"/>
      <x:c r="J22" s="94"/>
    </x:row>
    <x:row r="23" ht="16" customHeight="1">
      <x:c r="A23" s="94"/>
      <x:c r="B23" s="94"/>
      <x:c r="C23" s="94"/>
      <x:c r="D23" s="94"/>
      <x:c r="E23" s="94"/>
      <x:c r="F23" s="94"/>
      <x:c r="G23" s="94"/>
      <x:c r="H23" s="94"/>
      <x:c r="I23" s="94"/>
      <x:c r="J23" s="94"/>
    </x:row>
    <x:row r="24" ht="16" customHeight="1">
      <x:c r="A24" s="94"/>
      <x:c r="B24" s="94"/>
      <x:c r="C24" s="94"/>
      <x:c r="D24" s="94"/>
      <x:c r="E24" s="94"/>
      <x:c r="F24" s="94"/>
      <x:c r="G24" s="94"/>
      <x:c r="H24" s="94"/>
      <x:c r="I24" s="94"/>
      <x:c r="J24" s="94"/>
    </x:row>
    <x:row r="25" ht="16" customHeight="1">
      <x:c r="A25" s="94"/>
      <x:c r="B25" s="94"/>
      <x:c r="C25" s="94"/>
      <x:c r="D25" s="94"/>
      <x:c r="E25" s="94"/>
      <x:c r="F25" s="94"/>
      <x:c r="G25" s="94"/>
      <x:c r="H25" s="94"/>
      <x:c r="I25" s="94"/>
      <x:c r="J25" s="94"/>
    </x:row>
    <x:row r="26">
      <x:c r="A26" s="94"/>
      <x:c r="B26" s="94"/>
      <x:c r="C26" s="94"/>
      <x:c r="D26" s="94"/>
      <x:c r="E26" s="94"/>
      <x:c r="F26" s="94"/>
      <x:c r="G26" s="94"/>
      <x:c r="H26" s="94"/>
      <x:c r="I26" s="94"/>
      <x:c r="J26" s="94"/>
    </x:row>
    <x:row r="27">
      <x:c r="A27" s="94"/>
      <x:c r="B27" s="94"/>
      <x:c r="C27" s="94"/>
      <x:c r="D27" s="94"/>
      <x:c r="E27" s="94"/>
      <x:c r="F27" s="94"/>
      <x:c r="G27" s="94"/>
      <x:c r="H27" s="94"/>
      <x:c r="I27" s="94"/>
      <x:c r="J27" s="94"/>
    </x:row>
    <x:row r="28">
      <x:c r="A28" s="94"/>
      <x:c r="B28" s="94"/>
      <x:c r="C28" s="94"/>
      <x:c r="D28" s="94"/>
      <x:c r="E28" s="94"/>
      <x:c r="F28" s="94"/>
      <x:c r="G28" s="94"/>
      <x:c r="H28" s="94"/>
      <x:c r="I28" s="94"/>
      <x:c r="J28" s="94"/>
    </x:row>
    <x:row r="29">
      <x:c r="A29" s="94"/>
      <x:c r="B29" s="94"/>
      <x:c r="C29" s="94"/>
      <x:c r="D29" s="94"/>
      <x:c r="E29" s="94"/>
      <x:c r="F29" s="94"/>
      <x:c r="G29" s="94"/>
      <x:c r="H29" s="94"/>
      <x:c r="I29" s="94"/>
      <x:c r="J29" s="94"/>
    </x:row>
    <x:row r="30">
      <x:c r="A30" s="94"/>
      <x:c r="B30" s="94"/>
      <x:c r="C30" s="94"/>
      <x:c r="D30" s="94"/>
      <x:c r="E30" s="94"/>
      <x:c r="F30" s="94"/>
      <x:c r="G30" s="94"/>
      <x:c r="H30" s="94"/>
      <x:c r="I30" s="94"/>
      <x:c r="J30" s="94"/>
    </x:row>
    <x:row r="31">
      <x:c r="A31" s="94"/>
      <x:c r="B31" s="94"/>
      <x:c r="C31" s="94"/>
      <x:c r="D31" s="94"/>
      <x:c r="E31" s="94"/>
      <x:c r="F31" s="94"/>
      <x:c r="G31" s="94"/>
      <x:c r="H31" s="94"/>
      <x:c r="I31" s="94"/>
      <x:c r="J31" s="94"/>
    </x:row>
    <x:row r="32">
      <x:c r="A32" s="94"/>
      <x:c r="B32" s="94"/>
      <x:c r="C32" s="94"/>
      <x:c r="D32" s="94"/>
      <x:c r="E32" s="94"/>
      <x:c r="F32" s="94"/>
      <x:c r="G32" s="94"/>
      <x:c r="H32" s="94"/>
      <x:c r="I32" s="94"/>
      <x:c r="J32" s="94"/>
    </x:row>
    <x:row r="33">
      <x:c r="A33" s="94"/>
      <x:c r="B33" s="94"/>
      <x:c r="C33" s="94"/>
      <x:c r="D33" s="94"/>
      <x:c r="E33" s="94"/>
      <x:c r="F33" s="94"/>
      <x:c r="G33" s="94"/>
      <x:c r="H33" s="94"/>
      <x:c r="I33" s="94"/>
      <x:c r="J33" s="94"/>
    </x:row>
    <x:row r="34">
      <x:c r="A34" s="94"/>
      <x:c r="B34" s="94"/>
      <x:c r="C34" s="94"/>
      <x:c r="D34" s="94"/>
      <x:c r="E34" s="94"/>
      <x:c r="F34" s="94"/>
      <x:c r="G34" s="94"/>
      <x:c r="H34" s="94"/>
      <x:c r="I34" s="94"/>
      <x:c r="J34" s="94"/>
    </x:row>
    <x:row r="35">
      <x:c r="A35" s="94"/>
      <x:c r="B35" s="94"/>
      <x:c r="C35" s="94"/>
      <x:c r="D35" s="94"/>
      <x:c r="E35" s="94"/>
      <x:c r="F35" s="94"/>
      <x:c r="G35" s="94"/>
      <x:c r="H35" s="94"/>
      <x:c r="I35" s="94"/>
      <x:c r="J35" s="94"/>
    </x:row>
    <x:row r="36">
      <x:c r="A36" s="94"/>
      <x:c r="B36" s="94"/>
      <x:c r="C36" s="94"/>
      <x:c r="D36" s="94"/>
      <x:c r="E36" s="94"/>
      <x:c r="F36" s="94"/>
      <x:c r="G36" s="94"/>
      <x:c r="H36" s="94"/>
      <x:c r="I36" s="94"/>
      <x:c r="J36" s="94"/>
    </x:row>
    <x:row r="37">
      <x:c r="A37" s="94"/>
      <x:c r="B37" s="94"/>
      <x:c r="C37" s="94"/>
      <x:c r="D37" s="94"/>
      <x:c r="E37" s="94"/>
      <x:c r="F37" s="94"/>
      <x:c r="G37" s="94"/>
      <x:c r="H37" s="94"/>
      <x:c r="I37" s="94"/>
      <x:c r="J37" s="94"/>
    </x:row>
    <x:row r="38">
      <x:c r="A38" s="94"/>
      <x:c r="B38" s="94"/>
      <x:c r="C38" s="94"/>
      <x:c r="D38" s="94"/>
      <x:c r="E38" s="94"/>
      <x:c r="F38" s="94"/>
      <x:c r="G38" s="94"/>
      <x:c r="H38" s="94"/>
      <x:c r="I38" s="94"/>
      <x:c r="J38" s="94"/>
    </x:row>
    <x:row r="39">
      <x:c r="A39" s="94"/>
      <x:c r="B39" s="94"/>
      <x:c r="C39" s="94"/>
      <x:c r="D39" s="94"/>
      <x:c r="E39" s="94"/>
      <x:c r="F39" s="94"/>
      <x:c r="G39" s="94"/>
      <x:c r="H39" s="94"/>
      <x:c r="I39" s="94"/>
      <x:c r="J39" s="94"/>
    </x:row>
    <x:row r="40">
      <x:c r="A40" s="94"/>
      <x:c r="B40" s="94"/>
      <x:c r="C40" s="94"/>
      <x:c r="D40" s="94"/>
      <x:c r="E40" s="94"/>
      <x:c r="F40" s="94"/>
      <x:c r="G40" s="94"/>
      <x:c r="H40" s="94"/>
      <x:c r="I40" s="94"/>
      <x:c r="J40" s="94"/>
    </x:row>
    <x:row r="41">
      <x:c r="A41" s="94"/>
      <x:c r="B41" s="94"/>
      <x:c r="C41" s="94"/>
      <x:c r="D41" s="94"/>
      <x:c r="E41" s="94"/>
      <x:c r="F41" s="94"/>
      <x:c r="G41" s="94"/>
      <x:c r="H41" s="94"/>
      <x:c r="I41" s="94"/>
      <x:c r="J41" s="94"/>
    </x:row>
    <x:row r="42">
      <x:c r="A42" s="94"/>
      <x:c r="B42" s="94"/>
      <x:c r="C42" s="94"/>
      <x:c r="D42" s="94"/>
      <x:c r="E42" s="94"/>
      <x:c r="F42" s="94"/>
      <x:c r="G42" s="94"/>
      <x:c r="H42" s="94"/>
      <x:c r="I42" s="94"/>
      <x:c r="J42" s="94"/>
    </x:row>
    <x:row r="43">
      <x:c r="A43" s="94"/>
      <x:c r="B43" s="94"/>
      <x:c r="C43" s="94"/>
      <x:c r="D43" s="94"/>
      <x:c r="E43" s="94"/>
      <x:c r="F43" s="94"/>
      <x:c r="G43" s="94"/>
      <x:c r="H43" s="94"/>
      <x:c r="I43" s="94"/>
      <x:c r="J43" s="94"/>
    </x:row>
    <x:row r="44">
      <x:c r="A44" s="94"/>
      <x:c r="B44" s="94"/>
      <x:c r="C44" s="94"/>
      <x:c r="D44" s="94"/>
      <x:c r="E44" s="94"/>
      <x:c r="F44" s="94"/>
      <x:c r="G44" s="94"/>
      <x:c r="H44" s="94"/>
      <x:c r="I44" s="94"/>
      <x:c r="J44" s="94"/>
    </x:row>
    <x:row r="45">
      <x:c r="A45" s="94"/>
      <x:c r="B45" s="94"/>
      <x:c r="C45" s="94"/>
      <x:c r="D45" s="94"/>
      <x:c r="E45" s="94"/>
      <x:c r="F45" s="94"/>
      <x:c r="G45" s="94"/>
      <x:c r="H45" s="94"/>
      <x:c r="I45" s="94"/>
      <x:c r="J45" s="94"/>
    </x:row>
    <x:row r="46">
      <x:c r="A46" s="94"/>
      <x:c r="B46" s="94"/>
      <x:c r="C46" s="94"/>
      <x:c r="D46" s="94"/>
      <x:c r="E46" s="94"/>
      <x:c r="F46" s="94"/>
      <x:c r="G46" s="94"/>
      <x:c r="H46" s="94"/>
      <x:c r="I46" s="94"/>
      <x:c r="J46" s="94"/>
    </x:row>
    <x:row r="47">
      <x:c r="A47" s="94"/>
      <x:c r="B47" s="94"/>
      <x:c r="C47" s="94"/>
      <x:c r="D47" s="94"/>
      <x:c r="E47" s="94"/>
      <x:c r="F47" s="94"/>
      <x:c r="G47" s="94"/>
      <x:c r="H47" s="94"/>
      <x:c r="I47" s="94"/>
      <x:c r="J47" s="94"/>
    </x:row>
    <x:row r="48">
      <x:c r="A48" s="94"/>
      <x:c r="B48" s="94"/>
      <x:c r="C48" s="94"/>
      <x:c r="D48" s="94"/>
      <x:c r="E48" s="94"/>
      <x:c r="F48" s="94"/>
      <x:c r="G48" s="94"/>
      <x:c r="H48" s="94"/>
      <x:c r="I48" s="94"/>
      <x:c r="J48" s="94"/>
    </x:row>
    <x:row r="49">
      <x:c r="A49" s="94"/>
      <x:c r="B49" s="94"/>
      <x:c r="C49" s="94"/>
      <x:c r="D49" s="94"/>
      <x:c r="E49" s="94"/>
      <x:c r="F49" s="94"/>
      <x:c r="G49" s="94"/>
      <x:c r="H49" s="94"/>
      <x:c r="I49" s="94"/>
      <x:c r="J49" s="94"/>
    </x:row>
    <x:row r="50">
      <x:c r="A50" s="94"/>
      <x:c r="B50" s="94"/>
      <x:c r="C50" s="94"/>
      <x:c r="D50" s="94"/>
      <x:c r="E50" s="94"/>
      <x:c r="F50" s="94"/>
      <x:c r="G50" s="94"/>
      <x:c r="H50" s="94"/>
      <x:c r="I50" s="94"/>
      <x:c r="J50" s="94"/>
    </x:row>
    <x:row r="51">
      <x:c r="A51" s="94"/>
      <x:c r="B51" s="94"/>
      <x:c r="C51" s="94"/>
      <x:c r="D51" s="94"/>
      <x:c r="E51" s="94"/>
      <x:c r="F51" s="94"/>
      <x:c r="G51" s="94"/>
      <x:c r="H51" s="94"/>
      <x:c r="I51" s="94"/>
      <x:c r="J51" s="94"/>
    </x:row>
    <x:row r="52">
      <x:c r="A52" s="94"/>
      <x:c r="B52" s="94"/>
      <x:c r="C52" s="94"/>
      <x:c r="D52" s="94"/>
      <x:c r="E52" s="94"/>
      <x:c r="F52" s="94"/>
      <x:c r="G52" s="94"/>
      <x:c r="H52" s="94"/>
      <x:c r="I52" s="94"/>
      <x:c r="J52" s="94"/>
    </x:row>
    <x:row r="53">
      <x:c r="A53" s="94"/>
      <x:c r="B53" s="94"/>
      <x:c r="C53" s="94"/>
      <x:c r="D53" s="94"/>
      <x:c r="E53" s="94"/>
      <x:c r="F53" s="94"/>
      <x:c r="G53" s="94"/>
      <x:c r="H53" s="94"/>
      <x:c r="I53" s="94"/>
      <x:c r="J53" s="94"/>
    </x:row>
    <x:row r="54">
      <x:c r="A54" s="94"/>
      <x:c r="B54" s="94"/>
      <x:c r="C54" s="94"/>
      <x:c r="D54" s="94"/>
      <x:c r="E54" s="94"/>
      <x:c r="F54" s="94"/>
      <x:c r="G54" s="94"/>
      <x:c r="H54" s="94"/>
      <x:c r="I54" s="94"/>
      <x:c r="J54" s="94"/>
    </x:row>
    <x:row r="55">
      <x:c r="A55" s="94"/>
      <x:c r="B55" s="94"/>
      <x:c r="C55" s="94"/>
      <x:c r="D55" s="94"/>
      <x:c r="E55" s="94"/>
      <x:c r="F55" s="94"/>
      <x:c r="G55" s="94"/>
      <x:c r="H55" s="94"/>
      <x:c r="I55" s="94"/>
      <x:c r="J55" s="94"/>
    </x:row>
    <x:row r="56">
      <x:c r="A56" s="94"/>
      <x:c r="B56" s="94"/>
      <x:c r="C56" s="94"/>
      <x:c r="D56" s="94"/>
      <x:c r="E56" s="94"/>
      <x:c r="F56" s="94"/>
      <x:c r="G56" s="94"/>
      <x:c r="H56" s="94"/>
      <x:c r="I56" s="94"/>
      <x:c r="J56" s="94"/>
    </x:row>
    <x:row r="57">
      <x:c r="A57" s="94"/>
      <x:c r="B57" s="94"/>
      <x:c r="C57" s="94"/>
      <x:c r="D57" s="94"/>
      <x:c r="E57" s="94"/>
      <x:c r="F57" s="94"/>
      <x:c r="G57" s="94"/>
      <x:c r="H57" s="94"/>
      <x:c r="I57" s="94"/>
      <x:c r="J57" s="94"/>
    </x:row>
    <x:row r="58">
      <x:c r="A58" s="94"/>
      <x:c r="B58" s="94"/>
      <x:c r="C58" s="94"/>
      <x:c r="D58" s="94"/>
      <x:c r="E58" s="94"/>
      <x:c r="F58" s="94"/>
      <x:c r="G58" s="94"/>
      <x:c r="H58" s="94"/>
      <x:c r="I58" s="94"/>
      <x:c r="J58" s="94"/>
    </x:row>
    <x:row r="59">
      <x:c r="A59" s="94"/>
      <x:c r="B59" s="94"/>
      <x:c r="C59" s="94"/>
      <x:c r="D59" s="94"/>
      <x:c r="E59" s="94"/>
      <x:c r="F59" s="94"/>
      <x:c r="G59" s="94"/>
      <x:c r="H59" s="94"/>
      <x:c r="I59" s="94"/>
      <x:c r="J59" s="94"/>
    </x:row>
    <x:row r="60">
      <x:c r="A60" s="94"/>
      <x:c r="B60" s="94"/>
      <x:c r="C60" s="94"/>
      <x:c r="D60" s="94"/>
      <x:c r="E60" s="94"/>
      <x:c r="F60" s="94"/>
      <x:c r="G60" s="94"/>
      <x:c r="H60" s="94"/>
      <x:c r="I60" s="94"/>
      <x:c r="J60" s="94"/>
    </x:row>
  </x:sheetData>
  <x:mergeCells>
    <x:mergeCell ref="A1:H1"/>
    <x:mergeCell ref="A2:H2"/>
    <x:mergeCell ref="A14:H14"/>
    <x:mergeCell ref="A15:H25"/>
  </x:mergeCells>
  <x:pageMargins left="0.7" right="0.7" top="0.75" bottom="0.75" header="0.3" footer="0.3"/>
  <x:tableParts count="1">
    <x:tablePart xmlns:r="http://schemas.openxmlformats.org/officeDocument/2006/relationships" r:id="R8786adb257d94c99"/>
  </x:tableParts>
</x:worksheet>
</file>

<file path=xl/worksheets/sheet39.xml><?xml version="1.0" encoding="utf-8"?>
<x:worksheet xmlns:x="http://schemas.openxmlformats.org/spreadsheetml/2006/main">
  <x:sheetFormatPr defaultRowHeight="15"/>
  <x:cols>
    <x:col min="1" max="1" width="18" hidden="0" customWidth="1"/>
    <x:col min="2" max="2" width="24" hidden="0" customWidth="1"/>
    <x:col min="3" max="3" width="30" hidden="0" customWidth="1"/>
    <x:col min="4" max="4" width="38" hidden="0" customWidth="1"/>
    <x:col min="5" max="5" width="20" hidden="0" customWidth="1"/>
    <x:col min="6" max="6" width="24" hidden="0" customWidth="1"/>
    <x:col min="7" max="7" width="34" hidden="0" customWidth="1"/>
    <x:col min="8" max="8" width="50" hidden="0" customWidth="1"/>
    <x:col min="9" max="9" width="20" hidden="0" customWidth="1"/>
    <x:col min="10" max="10" width="48" hidden="0" customWidth="1"/>
  </x:cols>
  <x:sheetData>
    <x:row r="1" ht="28" customHeight="1">
      <x:c r="A1" s="214" t="str">
        <x:v>Hail × Solar v1.3 — Evidence to Parameter Map</x:v>
      </x:c>
      <x:c r="B1" s="94"/>
      <x:c r="C1" s="94"/>
      <x:c r="D1" s="94"/>
      <x:c r="E1" s="94"/>
      <x:c r="F1" s="94"/>
      <x:c r="G1" s="94"/>
      <x:c r="H1" s="94"/>
      <x:c r="I1" s="94"/>
      <x:c r="J1" s="94"/>
    </x:row>
    <x:row r="2" ht="42" customHeight="1">
      <x:c r="A2" s="198" t="str">
        <x:v>Every source is mapped to the parameter or modeling decision it supports. This prevents the curve from looking like a black-box LLM-generated sigmoid.</x:v>
      </x:c>
      <x:c r="B2" s="94"/>
      <x:c r="C2" s="94"/>
      <x:c r="D2" s="94"/>
      <x:c r="E2" s="94"/>
      <x:c r="F2" s="94"/>
      <x:c r="G2" s="94"/>
      <x:c r="H2" s="94"/>
      <x:c r="I2" s="94"/>
      <x:c r="J2" s="94"/>
    </x:row>
    <x:row r="3">
      <x:c r="A3" s="94"/>
      <x:c r="B3" s="94"/>
      <x:c r="C3" s="94"/>
      <x:c r="D3" s="94"/>
      <x:c r="E3" s="94"/>
      <x:c r="F3" s="94"/>
      <x:c r="G3" s="94"/>
      <x:c r="H3" s="94"/>
      <x:c r="I3" s="94"/>
      <x:c r="J3" s="94"/>
    </x:row>
    <x:row r="4">
      <x:c r="A4" s="215" t="str">
        <x:v>evidence_id</x:v>
      </x:c>
      <x:c r="B4" s="215" t="str">
        <x:v>source</x:v>
      </x:c>
      <x:c r="C4" s="215" t="str">
        <x:v>source_class</x:v>
      </x:c>
      <x:c r="D4" s="215" t="str">
        <x:v>quoted_or_extracted_fact</x:v>
      </x:c>
      <x:c r="E4" s="215" t="str">
        <x:v>numeric_extract</x:v>
      </x:c>
      <x:c r="F4" s="215" t="str">
        <x:v>used_for</x:v>
      </x:c>
      <x:c r="G4" s="215" t="str">
        <x:v>parameter_or_rule</x:v>
      </x:c>
      <x:c r="H4" s="215" t="str">
        <x:v>how_used</x:v>
      </x:c>
      <x:c r="I4" s="215" t="str">
        <x:v>trust_tier</x:v>
      </x:c>
      <x:c r="J4" s="215" t="str">
        <x:v>source_url</x:v>
      </x:c>
    </x:row>
    <x:row r="5">
      <x:c r="A5" s="94" t="str">
        <x:v>E_HAZ_NOAA_STORMEVENTS</x:v>
      </x:c>
      <x:c r="B5" s="94" t="str">
        <x:v>NOAA/NCEI Storm Events FAQ</x:v>
      </x:c>
      <x:c r="C5" s="94" t="str">
        <x:v>hazard data / operational axis</x:v>
      </x:c>
      <x:c r="D5" s="94" t="str">
        <x:v>Hail magnitude is listed as hail size in inches and hundredths of inches.</x:v>
      </x:c>
      <x:c r="E5" s="94" t="str">
        <x:v>hail size in inches</x:v>
      </x:c>
      <x:c r="F5" s="94" t="str">
        <x:v>x-axis selection</x:v>
      </x:c>
      <x:c r="G5" s="94" t="str">
        <x:v>HAIL_DIAMETER_MESH_EQUIV</x:v>
      </x:c>
      <x:c r="H5" s="94" t="str">
        <x:v>Supports using diameter/size as native operational input rather than kinetic energy.</x:v>
      </x:c>
      <x:c r="I5" s="94" t="str">
        <x:v>high</x:v>
      </x:c>
      <x:c r="J5" s="94" t="str">
        <x:v>https://www.ncei.noaa.gov/stormevents/faq.jsp</x:v>
      </x:c>
    </x:row>
    <x:row r="6">
      <x:c r="A6" s="94" t="str">
        <x:v>E_HAZ_NOAA_MESH</x:v>
      </x:c>
      <x:c r="B6" s="94" t="str">
        <x:v>NOAA/NWS WDTD MESH product page</x:v>
      </x:c>
      <x:c r="C6" s="94" t="str">
        <x:v>hazard data / operational axis</x:v>
      </x:c>
      <x:c r="D6" s="94" t="str">
        <x:v>MESH estimates maximum hail size; displayed in inches; base units are mm.</x:v>
      </x:c>
      <x:c r="E6" s="94" t="str">
        <x:v>MESH mm / inches</x:v>
      </x:c>
      <x:c r="F6" s="94" t="str">
        <x:v>x-axis selection</x:v>
      </x:c>
      <x:c r="G6" s="94" t="str">
        <x:v>HAIL_DIAMETER_MESH_EQUIV</x:v>
      </x:c>
      <x:c r="H6" s="94" t="str">
        <x:v>Supports MESH-equivalent max hail diameter as gridded hazard axis.</x:v>
      </x:c>
      <x:c r="I6" s="94" t="str">
        <x:v>high</x:v>
      </x:c>
      <x:c r="J6" s="94" t="str">
        <x:v>https://vlab.noaa.gov/web/wdtd/-/maximum-estimated-size-of-hail-mes-2</x:v>
      </x:c>
    </x:row>
    <x:row r="7">
      <x:c r="A7" s="94" t="str">
        <x:v>E_IEC_DOE_TABLE</x:v>
      </x:c>
      <x:c r="B7" s="94" t="str">
        <x:v>DOE/FEMP PV hail mitigation page</x:v>
      </x:c>
      <x:c r="C7" s="94" t="str">
        <x:v>standard / physics bridge</x:v>
      </x:c>
      <x:c r="D7" s="94" t="str">
        <x:v>IEC 61215 table gives diameter, ice-ball mass, and velocity for 25–76 mm tests; baseline 25 mm certification is common.</x:v>
      </x:c>
      <x:c r="E7" s="94" t="str">
        <x:v>25mm 7.54g 23m/s; 35mm 20.7g 27.2m/s; 45mm 43.9g 30.7m/s; 55mm 80.2g 33.9m/s; 65mm 132g 36.7m/s; 76mm 203g 39.5m/s</x:v>
      </x:c>
      <x:c r="F7" s="94" t="str">
        <x:v>physics bridge and near-zero anchor</x:v>
      </x:c>
      <x:c r="G7" s="94" t="str">
        <x:v>HAIL_DIAMETER_TO_IMPACT_KE_PROXY; A_IEC_25_DEFAULT</x:v>
      </x:c>
      <x:c r="H7" s="94" t="str">
        <x:v>Fits mass/velocity power laws and anchors near-zero module replacement probability at 25 mm for qualified modules.</x:v>
      </x:c>
      <x:c r="I7" s="94" t="str">
        <x:v>high</x:v>
      </x:c>
      <x:c r="J7" s="94" t="str">
        <x:v>https://www.energy.gov/femp/hail-damage-mitigation-solar-photovoltaic-systems</x:v>
      </x:c>
    </x:row>
    <x:row r="8">
      <x:c r="A8" s="94" t="str">
        <x:v>E_DOE_MODULE_SELECTION</x:v>
      </x:c>
      <x:c r="B8" s="94" t="str">
        <x:v>DOE/FEMP PV hail mitigation page</x:v>
      </x:c>
      <x:c r="C8" s="94" t="str">
        <x:v>design guidance / selector</x:v>
      </x:c>
      <x:c r="D8" s="94" t="str">
        <x:v>DOE/FEMP recommends modules with at least 3.2 mm front glass; thinner glass is typically weaker; 4.0 mm preferred but uncommon.</x:v>
      </x:c>
      <x:c r="E8" s="94" t="str">
        <x:v>3.2 mm recommended</x:v>
      </x:c>
      <x:c r="F8" s="94" t="str">
        <x:v>module archetype selector</x:v>
      </x:c>
      <x:c r="G8" s="94" t="str">
        <x:v>default_3_2mm_glass_backsheet</x:v>
      </x:c>
      <x:c r="H8" s="94" t="str">
        <x:v>Justifies default archetype around 3.2 mm front glass and labels thinner-glass designs as more vulnerable.</x:v>
      </x:c>
      <x:c r="I8" s="94" t="str">
        <x:v>high</x:v>
      </x:c>
      <x:c r="J8" s="94" t="str">
        <x:v>https://www.energy.gov/femp/hail-damage-mitigation-solar-photovoltaic-systems</x:v>
      </x:c>
    </x:row>
    <x:row r="9">
      <x:c r="A9" s="94" t="str">
        <x:v>E_PVEL_2023_HSS</x:v>
      </x:c>
      <x:c r="B9" s="94" t="str">
        <x:v>PVEL 2023 Hail Stress Sequence</x:v>
      </x:c>
      <x:c r="C9" s="94" t="str">
        <x:v>lab aggregate / curve anchor</x:v>
      </x:c>
      <x:c r="D9" s="94" t="str">
        <x:v>During 50 mm hail testing, 89% of 2.0 mm glass//glass broke vs 39% for 3.2 mm glass//backsheet; glass//glass breakage decreased to 57% at 40 mm and 18% at 35 mm.</x:v>
      </x:c>
      <x:c r="E9" s="94" t="str">
        <x:v>GG: 35mm 18%, 40mm 57%, 50mm 89%; GBS: 50mm 39%</x:v>
      </x:c>
      <x:c r="F9" s="94" t="str">
        <x:v>curve anchors</x:v>
      </x:c>
      <x:c r="G9" s="94" t="str">
        <x:v>fragile curve; default curve</x:v>
      </x:c>
      <x:c r="H9" s="94" t="str">
        <x:v>Fits fragile curve and default 50 mm anchor; supports archetype separation.</x:v>
      </x:c>
      <x:c r="I9" s="94" t="str">
        <x:v>medium/high</x:v>
      </x:c>
      <x:c r="J9" s="94" t="str">
        <x:v>https://2023modulescorecard.pvel.com/hail-stress-sequence/</x:v>
      </x:c>
    </x:row>
    <x:row r="10">
      <x:c r="A10" s="94" t="str">
        <x:v>E_PVEL_2024_HSS</x:v>
      </x:c>
      <x:c r="B10" s="94" t="str">
        <x:v>Kiwa PVEL 2024 HSS</x:v>
      </x:c>
      <x:c r="C10" s="94" t="str">
        <x:v>lab aggregate / selector evidence</x:v>
      </x:c>
      <x:c r="D10" s="94" t="str">
        <x:v>3.2 mm fully tempered glass//backsheet is significantly less susceptible than 2.0 mm heat-strengthened glass//glass; three 2.5 mm glass//glass BOMs showed no breakage with 50 mm hail.</x:v>
      </x:c>
      <x:c r="E10" s="94" t="str">
        <x:v>GBS lower than GG; 2.5mm GG examples no breakage at 50mm</x:v>
      </x:c>
      <x:c r="F10" s="94" t="str">
        <x:v>selector evidence</x:v>
      </x:c>
      <x:c r="G10" s="94" t="str">
        <x:v>hail-hardened archetype / curve confidence</x:v>
      </x:c>
      <x:c r="H10" s="94" t="str">
        <x:v>Supports treating construction type as selector and recognizing hardened designs; not used as hard numeric default anchor except qualitatively.</x:v>
      </x:c>
      <x:c r="I10" s="94" t="str">
        <x:v>medium/high</x:v>
      </x:c>
      <x:c r="J10" s="94" t="str">
        <x:v>https://2024modulescorecard.pvel.com/hail-stress-sequence/</x:v>
      </x:c>
    </x:row>
    <x:row r="11">
      <x:c r="A11" s="94" t="str">
        <x:v>E_PVEL_2025_HSS</x:v>
      </x:c>
      <x:c r="B11" s="94" t="str">
        <x:v>Kiwa PVEL current HSS page</x:v>
      </x:c>
      <x:c r="C11" s="94" t="str">
        <x:v>lab aggregate / selector evidence</x:v>
      </x:c>
      <x:c r="D11" s="94" t="str">
        <x:v>3.2 mm glass//backsheet and hail-hardened designs have lower breakage rates than 2.0 mm glass//2.0 mm glass; hail-hardened sample sizes are limited.</x:v>
      </x:c>
      <x:c r="E11" s="94" t="str">
        <x:v>current public comparative result</x:v>
      </x:c>
      <x:c r="F11" s="94" t="str">
        <x:v>selector evidence; hardened caveat</x:v>
      </x:c>
      <x:c r="G11" s="94" t="str">
        <x:v>hail-hardened curve status</x:v>
      </x:c>
      <x:c r="H11" s="94" t="str">
        <x:v>Supports hardened curve direction and caveat that sample sizes remain limited.</x:v>
      </x:c>
      <x:c r="I11" s="94" t="str">
        <x:v>medium/high</x:v>
      </x:c>
      <x:c r="J11" s="94" t="str">
        <x:v>https://scorecard.pvel.com/hail-stress-sequence/</x:v>
      </x:c>
    </x:row>
    <x:row r="12">
      <x:c r="A12" s="94" t="str">
        <x:v>E_PVEL_WHITEPAPER</x:v>
      </x:c>
      <x:c r="B12" s="94" t="str">
        <x:v>PVEL Hail Stress Sequence whitepaper</x:v>
      </x:c>
      <x:c r="C12" s="94" t="str">
        <x:v>field-informed lab design</x:v>
      </x:c>
      <x:c r="D12" s="94" t="str">
        <x:v>PVEL designed HSS using field and lab experience; 50 mm at terminal velocity / about 31.4 J differentiates BOMs; breakage can occur at ≥45 mm.</x:v>
      </x:c>
      <x:c r="E12" s="94" t="str">
        <x:v>50mm ≈ 31.4J; breakage can occur ≥45mm</x:v>
      </x:c>
      <x:c r="F12" s="94" t="str">
        <x:v>curve form / transition region</x:v>
      </x:c>
      <x:c r="G12" s="94" t="str">
        <x:v>transition around 45–55mm</x:v>
      </x:c>
      <x:c r="H12" s="94" t="str">
        <x:v>Supports steep transition around large hail and use of 50mm lab point as informative for field risk.</x:v>
      </x:c>
      <x:c r="I12" s="94" t="str">
        <x:v>medium/high</x:v>
      </x:c>
      <x:c r="J12" s="94" t="str">
        <x:v>https://www.pvel.com/wp-content/uploads/PVEL_White-Paper_Hail-Stress-Sequence-for-PV-Modules.pdf</x:v>
      </x:c>
    </x:row>
    <x:row r="13">
      <x:c r="A13" s="94" t="str">
        <x:v>E_NREL_PV_PERF</x:v>
      </x:c>
      <x:c r="B13" s="94" t="str">
        <x:v>NREL Extreme Weather and PV Performance</x:v>
      </x:c>
      <x:c r="C13" s="94" t="str">
        <x:v>field performance / context</x:v>
      </x:c>
      <x:c r="D13" s="94" t="str">
        <x:v>Hail events at or above 25 mm were associated with higher PV performance loss rates; event production loss is not the same as replacement-cost damage.</x:v>
      </x:c>
      <x:c r="E13" s="94" t="str">
        <x:v>≥25mm PLR signal</x:v>
      </x:c>
      <x:c r="F13" s="94" t="str">
        <x:v>context / caveat</x:v>
      </x:c>
      <x:c r="G13" s="94" t="str">
        <x:v>not a replacement-cost anchor</x:v>
      </x:c>
      <x:c r="H13" s="94" t="str">
        <x:v>Supports hail relevance and lower-bound threshold; not used as direct replacement DR anchor.</x:v>
      </x:c>
      <x:c r="I13" s="94" t="str">
        <x:v>high</x:v>
      </x:c>
      <x:c r="J13" s="94" t="str">
        <x:v>https://research-hub.nrel.gov/en/publications/extreme-weather-and-pv-performance-2</x:v>
      </x:c>
    </x:row>
    <x:row r="14">
      <x:c r="A14" s="94" t="str">
        <x:v>E_DOE_HAIL_STOW</x:v>
      </x:c>
      <x:c r="B14" s="94" t="str">
        <x:v>DOE/FEMP PV hail mitigation page</x:v>
      </x:c>
      <x:c r="C14" s="94" t="str">
        <x:v>design/O&amp;M guidance / conditioner</x:v>
      </x:c>
      <x:c r="D14" s="94" t="str">
        <x:v>Higher tilt angles reduce hail damage potential; tracker hail stow is typically maximum vertical tilt and should decrease angle of impact; automatic engagement is better when available.</x:v>
      </x:c>
      <x:c r="E14" s="94" t="str">
        <x:v>higher tilt / max vertical tilt</x:v>
      </x:c>
      <x:c r="F14" s="94" t="str">
        <x:v>stow conditioner</x:v>
      </x:c>
      <x:c r="G14" s="94" t="str">
        <x:v>stowed curve adjustment</x:v>
      </x:c>
      <x:c r="H14" s="94" t="str">
        <x:v>Supports stow as conditioner; not enough alone to quantify D50 shift.</x:v>
      </x:c>
      <x:c r="I14" s="94" t="str">
        <x:v>high</x:v>
      </x:c>
      <x:c r="J14" s="94" t="str">
        <x:v>https://www.energy.gov/femp/hail-damage-mitigation-solar-photovoltaic-systems</x:v>
      </x:c>
    </x:row>
    <x:row r="15">
      <x:c r="A15" s="94" t="str">
        <x:v>E_VDE_HAIL_STOW</x:v>
      </x:c>
      <x:c r="B15" s="94" t="str">
        <x:v>VDE Americas hail stow memo</x:v>
      </x:c>
      <x:c r="C15" s="94" t="str">
        <x:v>engineering guidance / conditioner</x:v>
      </x:c>
      <x:c r="D15" s="94" t="str">
        <x:v>Maximum tracker tilt reduces exposed glass area and the normal element of kinetic energy; typical maximum tilt range 50–75° for single-axis tracker hail stow.</x:v>
      </x:c>
      <x:c r="E15" s="94" t="str">
        <x:v>50–75° max tilt; reduced normal KE and exposed area</x:v>
      </x:c>
      <x:c r="F15" s="94" t="str">
        <x:v>stow conditioner logic</x:v>
      </x:c>
      <x:c r="G15" s="94" t="str">
        <x:v>D50 shift + cap/exposure adjustment</x:v>
      </x:c>
      <x:c r="H15" s="94" t="str">
        <x:v>Supports horizontal/energy adjustment and exposure reduction concept; current numeric shift remains placeholder.</x:v>
      </x:c>
      <x:c r="I15" s="94" t="str">
        <x:v>medium/high</x:v>
      </x:c>
      <x:c r="J15" s="94" t="str">
        <x:v>https://www.vde.com/en/vde-americas/newsroom/hail-stow-tech-memo</x:v>
      </x:c>
    </x:row>
    <x:row r="16">
      <x:c r="A16" s="94" t="str">
        <x:v>E_FTC_HAIL_STOW</x:v>
      </x:c>
      <x:c r="B16" s="94" t="str">
        <x:v>FTC Solar 80° hail stow release</x:v>
      </x:c>
      <x:c r="C16" s="94" t="str">
        <x:v>commercial implementation / conditioner</x:v>
      </x:c>
      <x:c r="D16" s="94" t="str">
        <x:v>80° high-angle stow rotates trackers to steep angles so hailstones strike at shallow/glancing angles, reducing impact energy and breakage risk.</x:v>
      </x:c>
      <x:c r="E16" s="94" t="str">
        <x:v>80° stow</x:v>
      </x:c>
      <x:c r="F16" s="94" t="str">
        <x:v>stow feasibility / metadata</x:v>
      </x:c>
      <x:c r="G16" s="94" t="str">
        <x:v>stow_angle_deg, automated stow</x:v>
      </x:c>
      <x:c r="H16" s="94" t="str">
        <x:v>Shows stow metadata is operationally real; not used to calibrate generic curve magnitude.</x:v>
      </x:c>
      <x:c r="I16" s="94" t="str">
        <x:v>medium</x:v>
      </x:c>
      <x:c r="J16" s="94" t="str">
        <x:v>https://investor.ftcsolar.com/news-releases/news-release-details/ftc-solar-launches-automated-80deg-high-angle-stow-1p-pioneer/</x:v>
      </x:c>
    </x:row>
    <x:row r="17">
      <x:c r="A17" s="94"/>
      <x:c r="B17" s="94"/>
      <x:c r="C17" s="94"/>
      <x:c r="D17" s="94"/>
      <x:c r="E17" s="94"/>
      <x:c r="F17" s="94"/>
      <x:c r="G17" s="94"/>
      <x:c r="H17" s="94"/>
      <x:c r="I17" s="94"/>
      <x:c r="J17" s="94"/>
    </x:row>
    <x:row r="18">
      <x:c r="A18" s="94"/>
      <x:c r="B18" s="94"/>
      <x:c r="C18" s="94"/>
      <x:c r="D18" s="94"/>
      <x:c r="E18" s="94"/>
      <x:c r="F18" s="94"/>
      <x:c r="G18" s="94"/>
      <x:c r="H18" s="94"/>
      <x:c r="I18" s="94"/>
      <x:c r="J18" s="94"/>
    </x:row>
    <x:row r="19">
      <x:c r="A19" s="94"/>
      <x:c r="B19" s="94"/>
      <x:c r="C19" s="94"/>
      <x:c r="D19" s="94"/>
      <x:c r="E19" s="94"/>
      <x:c r="F19" s="94"/>
      <x:c r="G19" s="94"/>
      <x:c r="H19" s="94"/>
      <x:c r="I19" s="94"/>
      <x:c r="J19" s="94"/>
    </x:row>
    <x:row r="20">
      <x:c r="A20" s="94"/>
      <x:c r="B20" s="94"/>
      <x:c r="C20" s="94"/>
      <x:c r="D20" s="94"/>
      <x:c r="E20" s="94"/>
      <x:c r="F20" s="94"/>
      <x:c r="G20" s="94"/>
      <x:c r="H20" s="94"/>
      <x:c r="I20" s="94"/>
      <x:c r="J20" s="94"/>
    </x:row>
    <x:row r="21">
      <x:c r="A21" s="94"/>
      <x:c r="B21" s="94"/>
      <x:c r="C21" s="94"/>
      <x:c r="D21" s="94"/>
      <x:c r="E21" s="94"/>
      <x:c r="F21" s="94"/>
      <x:c r="G21" s="94"/>
      <x:c r="H21" s="94"/>
      <x:c r="I21" s="94"/>
      <x:c r="J21" s="94"/>
    </x:row>
    <x:row r="22">
      <x:c r="A22" s="94"/>
      <x:c r="B22" s="94"/>
      <x:c r="C22" s="94"/>
      <x:c r="D22" s="94"/>
      <x:c r="E22" s="94"/>
      <x:c r="F22" s="94"/>
      <x:c r="G22" s="94"/>
      <x:c r="H22" s="94"/>
      <x:c r="I22" s="94"/>
      <x:c r="J22" s="94"/>
    </x:row>
    <x:row r="23">
      <x:c r="A23" s="94"/>
      <x:c r="B23" s="94"/>
      <x:c r="C23" s="94"/>
      <x:c r="D23" s="94"/>
      <x:c r="E23" s="94"/>
      <x:c r="F23" s="94"/>
      <x:c r="G23" s="94"/>
      <x:c r="H23" s="94"/>
      <x:c r="I23" s="94"/>
      <x:c r="J23" s="94"/>
    </x:row>
    <x:row r="24">
      <x:c r="A24" s="94"/>
      <x:c r="B24" s="94"/>
      <x:c r="C24" s="94"/>
      <x:c r="D24" s="94"/>
      <x:c r="E24" s="94"/>
      <x:c r="F24" s="94"/>
      <x:c r="G24" s="94"/>
      <x:c r="H24" s="94"/>
      <x:c r="I24" s="94"/>
      <x:c r="J24" s="94"/>
    </x:row>
    <x:row r="25">
      <x:c r="A25" s="94"/>
      <x:c r="B25" s="94"/>
      <x:c r="C25" s="94"/>
      <x:c r="D25" s="94"/>
      <x:c r="E25" s="94"/>
      <x:c r="F25" s="94"/>
      <x:c r="G25" s="94"/>
      <x:c r="H25" s="94"/>
      <x:c r="I25" s="94"/>
      <x:c r="J25" s="94"/>
    </x:row>
    <x:row r="26">
      <x:c r="A26" s="94"/>
      <x:c r="B26" s="94"/>
      <x:c r="C26" s="94"/>
      <x:c r="D26" s="94"/>
      <x:c r="E26" s="94"/>
      <x:c r="F26" s="94"/>
      <x:c r="G26" s="94"/>
      <x:c r="H26" s="94"/>
      <x:c r="I26" s="94"/>
      <x:c r="J26" s="94"/>
    </x:row>
    <x:row r="27">
      <x:c r="A27" s="94"/>
      <x:c r="B27" s="94"/>
      <x:c r="C27" s="94"/>
      <x:c r="D27" s="94"/>
      <x:c r="E27" s="94"/>
      <x:c r="F27" s="94"/>
      <x:c r="G27" s="94"/>
      <x:c r="H27" s="94"/>
      <x:c r="I27" s="94"/>
      <x:c r="J27" s="94"/>
    </x:row>
    <x:row r="28">
      <x:c r="A28" s="94"/>
      <x:c r="B28" s="94"/>
      <x:c r="C28" s="94"/>
      <x:c r="D28" s="94"/>
      <x:c r="E28" s="94"/>
      <x:c r="F28" s="94"/>
      <x:c r="G28" s="94"/>
      <x:c r="H28" s="94"/>
      <x:c r="I28" s="94"/>
      <x:c r="J28" s="94"/>
    </x:row>
    <x:row r="29">
      <x:c r="A29" s="94"/>
      <x:c r="B29" s="94"/>
      <x:c r="C29" s="94"/>
      <x:c r="D29" s="94"/>
      <x:c r="E29" s="94"/>
      <x:c r="F29" s="94"/>
      <x:c r="G29" s="94"/>
      <x:c r="H29" s="94"/>
      <x:c r="I29" s="94"/>
      <x:c r="J29" s="94"/>
    </x:row>
    <x:row r="30">
      <x:c r="A30" s="94"/>
      <x:c r="B30" s="94"/>
      <x:c r="C30" s="94"/>
      <x:c r="D30" s="94"/>
      <x:c r="E30" s="94"/>
      <x:c r="F30" s="94"/>
      <x:c r="G30" s="94"/>
      <x:c r="H30" s="94"/>
      <x:c r="I30" s="94"/>
      <x:c r="J30" s="94"/>
    </x:row>
    <x:row r="31">
      <x:c r="A31" s="94"/>
      <x:c r="B31" s="94"/>
      <x:c r="C31" s="94"/>
      <x:c r="D31" s="94"/>
      <x:c r="E31" s="94"/>
      <x:c r="F31" s="94"/>
      <x:c r="G31" s="94"/>
      <x:c r="H31" s="94"/>
      <x:c r="I31" s="94"/>
      <x:c r="J31" s="94"/>
    </x:row>
    <x:row r="32">
      <x:c r="A32" s="94"/>
      <x:c r="B32" s="94"/>
      <x:c r="C32" s="94"/>
      <x:c r="D32" s="94"/>
      <x:c r="E32" s="94"/>
      <x:c r="F32" s="94"/>
      <x:c r="G32" s="94"/>
      <x:c r="H32" s="94"/>
      <x:c r="I32" s="94"/>
      <x:c r="J32" s="94"/>
    </x:row>
    <x:row r="33">
      <x:c r="A33" s="94"/>
      <x:c r="B33" s="94"/>
      <x:c r="C33" s="94"/>
      <x:c r="D33" s="94"/>
      <x:c r="E33" s="94"/>
      <x:c r="F33" s="94"/>
      <x:c r="G33" s="94"/>
      <x:c r="H33" s="94"/>
      <x:c r="I33" s="94"/>
      <x:c r="J33" s="94"/>
    </x:row>
    <x:row r="34">
      <x:c r="A34" s="94"/>
      <x:c r="B34" s="94"/>
      <x:c r="C34" s="94"/>
      <x:c r="D34" s="94"/>
      <x:c r="E34" s="94"/>
      <x:c r="F34" s="94"/>
      <x:c r="G34" s="94"/>
      <x:c r="H34" s="94"/>
      <x:c r="I34" s="94"/>
      <x:c r="J34" s="94"/>
    </x:row>
    <x:row r="35">
      <x:c r="A35" s="94"/>
      <x:c r="B35" s="94"/>
      <x:c r="C35" s="94"/>
      <x:c r="D35" s="94"/>
      <x:c r="E35" s="94"/>
      <x:c r="F35" s="94"/>
      <x:c r="G35" s="94"/>
      <x:c r="H35" s="94"/>
      <x:c r="I35" s="94"/>
      <x:c r="J35" s="94"/>
    </x:row>
    <x:row r="36">
      <x:c r="A36" s="94"/>
      <x:c r="B36" s="94"/>
      <x:c r="C36" s="94"/>
      <x:c r="D36" s="94"/>
      <x:c r="E36" s="94"/>
      <x:c r="F36" s="94"/>
      <x:c r="G36" s="94"/>
      <x:c r="H36" s="94"/>
      <x:c r="I36" s="94"/>
      <x:c r="J36" s="94"/>
    </x:row>
    <x:row r="37">
      <x:c r="A37" s="94"/>
      <x:c r="B37" s="94"/>
      <x:c r="C37" s="94"/>
      <x:c r="D37" s="94"/>
      <x:c r="E37" s="94"/>
      <x:c r="F37" s="94"/>
      <x:c r="G37" s="94"/>
      <x:c r="H37" s="94"/>
      <x:c r="I37" s="94"/>
      <x:c r="J37" s="94"/>
    </x:row>
    <x:row r="38">
      <x:c r="A38" s="94"/>
      <x:c r="B38" s="94"/>
      <x:c r="C38" s="94"/>
      <x:c r="D38" s="94"/>
      <x:c r="E38" s="94"/>
      <x:c r="F38" s="94"/>
      <x:c r="G38" s="94"/>
      <x:c r="H38" s="94"/>
      <x:c r="I38" s="94"/>
      <x:c r="J38" s="94"/>
    </x:row>
    <x:row r="39">
      <x:c r="A39" s="94"/>
      <x:c r="B39" s="94"/>
      <x:c r="C39" s="94"/>
      <x:c r="D39" s="94"/>
      <x:c r="E39" s="94"/>
      <x:c r="F39" s="94"/>
      <x:c r="G39" s="94"/>
      <x:c r="H39" s="94"/>
      <x:c r="I39" s="94"/>
      <x:c r="J39" s="94"/>
    </x:row>
    <x:row r="40">
      <x:c r="A40" s="94"/>
      <x:c r="B40" s="94"/>
      <x:c r="C40" s="94"/>
      <x:c r="D40" s="94"/>
      <x:c r="E40" s="94"/>
      <x:c r="F40" s="94"/>
      <x:c r="G40" s="94"/>
      <x:c r="H40" s="94"/>
      <x:c r="I40" s="94"/>
      <x:c r="J40" s="94"/>
    </x:row>
    <x:row r="41">
      <x:c r="A41" s="94"/>
      <x:c r="B41" s="94"/>
      <x:c r="C41" s="94"/>
      <x:c r="D41" s="94"/>
      <x:c r="E41" s="94"/>
      <x:c r="F41" s="94"/>
      <x:c r="G41" s="94"/>
      <x:c r="H41" s="94"/>
      <x:c r="I41" s="94"/>
      <x:c r="J41" s="94"/>
    </x:row>
    <x:row r="42">
      <x:c r="A42" s="94"/>
      <x:c r="B42" s="94"/>
      <x:c r="C42" s="94"/>
      <x:c r="D42" s="94"/>
      <x:c r="E42" s="94"/>
      <x:c r="F42" s="94"/>
      <x:c r="G42" s="94"/>
      <x:c r="H42" s="94"/>
      <x:c r="I42" s="94"/>
      <x:c r="J42" s="94"/>
    </x:row>
    <x:row r="43">
      <x:c r="A43" s="94"/>
      <x:c r="B43" s="94"/>
      <x:c r="C43" s="94"/>
      <x:c r="D43" s="94"/>
      <x:c r="E43" s="94"/>
      <x:c r="F43" s="94"/>
      <x:c r="G43" s="94"/>
      <x:c r="H43" s="94"/>
      <x:c r="I43" s="94"/>
      <x:c r="J43" s="94"/>
    </x:row>
    <x:row r="44">
      <x:c r="A44" s="94"/>
      <x:c r="B44" s="94"/>
      <x:c r="C44" s="94"/>
      <x:c r="D44" s="94"/>
      <x:c r="E44" s="94"/>
      <x:c r="F44" s="94"/>
      <x:c r="G44" s="94"/>
      <x:c r="H44" s="94"/>
      <x:c r="I44" s="94"/>
      <x:c r="J44" s="94"/>
    </x:row>
    <x:row r="45">
      <x:c r="A45" s="94"/>
      <x:c r="B45" s="94"/>
      <x:c r="C45" s="94"/>
      <x:c r="D45" s="94"/>
      <x:c r="E45" s="94"/>
      <x:c r="F45" s="94"/>
      <x:c r="G45" s="94"/>
      <x:c r="H45" s="94"/>
      <x:c r="I45" s="94"/>
      <x:c r="J45" s="94"/>
    </x:row>
    <x:row r="46">
      <x:c r="A46" s="94"/>
      <x:c r="B46" s="94"/>
      <x:c r="C46" s="94"/>
      <x:c r="D46" s="94"/>
      <x:c r="E46" s="94"/>
      <x:c r="F46" s="94"/>
      <x:c r="G46" s="94"/>
      <x:c r="H46" s="94"/>
      <x:c r="I46" s="94"/>
      <x:c r="J46" s="94"/>
    </x:row>
    <x:row r="47">
      <x:c r="A47" s="94"/>
      <x:c r="B47" s="94"/>
      <x:c r="C47" s="94"/>
      <x:c r="D47" s="94"/>
      <x:c r="E47" s="94"/>
      <x:c r="F47" s="94"/>
      <x:c r="G47" s="94"/>
      <x:c r="H47" s="94"/>
      <x:c r="I47" s="94"/>
      <x:c r="J47" s="94"/>
    </x:row>
    <x:row r="48">
      <x:c r="A48" s="94"/>
      <x:c r="B48" s="94"/>
      <x:c r="C48" s="94"/>
      <x:c r="D48" s="94"/>
      <x:c r="E48" s="94"/>
      <x:c r="F48" s="94"/>
      <x:c r="G48" s="94"/>
      <x:c r="H48" s="94"/>
      <x:c r="I48" s="94"/>
      <x:c r="J48" s="94"/>
    </x:row>
    <x:row r="49">
      <x:c r="A49" s="94"/>
      <x:c r="B49" s="94"/>
      <x:c r="C49" s="94"/>
      <x:c r="D49" s="94"/>
      <x:c r="E49" s="94"/>
      <x:c r="F49" s="94"/>
      <x:c r="G49" s="94"/>
      <x:c r="H49" s="94"/>
      <x:c r="I49" s="94"/>
      <x:c r="J49" s="94"/>
    </x:row>
    <x:row r="50">
      <x:c r="A50" s="94"/>
      <x:c r="B50" s="94"/>
      <x:c r="C50" s="94"/>
      <x:c r="D50" s="94"/>
      <x:c r="E50" s="94"/>
      <x:c r="F50" s="94"/>
      <x:c r="G50" s="94"/>
      <x:c r="H50" s="94"/>
      <x:c r="I50" s="94"/>
      <x:c r="J50" s="94"/>
    </x:row>
    <x:row r="51">
      <x:c r="A51" s="94"/>
      <x:c r="B51" s="94"/>
      <x:c r="C51" s="94"/>
      <x:c r="D51" s="94"/>
      <x:c r="E51" s="94"/>
      <x:c r="F51" s="94"/>
      <x:c r="G51" s="94"/>
      <x:c r="H51" s="94"/>
      <x:c r="I51" s="94"/>
      <x:c r="J51" s="94"/>
    </x:row>
    <x:row r="52">
      <x:c r="A52" s="94"/>
      <x:c r="B52" s="94"/>
      <x:c r="C52" s="94"/>
      <x:c r="D52" s="94"/>
      <x:c r="E52" s="94"/>
      <x:c r="F52" s="94"/>
      <x:c r="G52" s="94"/>
      <x:c r="H52" s="94"/>
      <x:c r="I52" s="94"/>
      <x:c r="J52" s="94"/>
    </x:row>
    <x:row r="53">
      <x:c r="A53" s="94"/>
      <x:c r="B53" s="94"/>
      <x:c r="C53" s="94"/>
      <x:c r="D53" s="94"/>
      <x:c r="E53" s="94"/>
      <x:c r="F53" s="94"/>
      <x:c r="G53" s="94"/>
      <x:c r="H53" s="94"/>
      <x:c r="I53" s="94"/>
      <x:c r="J53" s="94"/>
    </x:row>
    <x:row r="54">
      <x:c r="A54" s="94"/>
      <x:c r="B54" s="94"/>
      <x:c r="C54" s="94"/>
      <x:c r="D54" s="94"/>
      <x:c r="E54" s="94"/>
      <x:c r="F54" s="94"/>
      <x:c r="G54" s="94"/>
      <x:c r="H54" s="94"/>
      <x:c r="I54" s="94"/>
      <x:c r="J54" s="94"/>
    </x:row>
    <x:row r="55">
      <x:c r="A55" s="94"/>
      <x:c r="B55" s="94"/>
      <x:c r="C55" s="94"/>
      <x:c r="D55" s="94"/>
      <x:c r="E55" s="94"/>
      <x:c r="F55" s="94"/>
      <x:c r="G55" s="94"/>
      <x:c r="H55" s="94"/>
      <x:c r="I55" s="94"/>
      <x:c r="J55" s="94"/>
    </x:row>
    <x:row r="56">
      <x:c r="A56" s="94"/>
      <x:c r="B56" s="94"/>
      <x:c r="C56" s="94"/>
      <x:c r="D56" s="94"/>
      <x:c r="E56" s="94"/>
      <x:c r="F56" s="94"/>
      <x:c r="G56" s="94"/>
      <x:c r="H56" s="94"/>
      <x:c r="I56" s="94"/>
      <x:c r="J56" s="94"/>
    </x:row>
    <x:row r="57">
      <x:c r="A57" s="94"/>
      <x:c r="B57" s="94"/>
      <x:c r="C57" s="94"/>
      <x:c r="D57" s="94"/>
      <x:c r="E57" s="94"/>
      <x:c r="F57" s="94"/>
      <x:c r="G57" s="94"/>
      <x:c r="H57" s="94"/>
      <x:c r="I57" s="94"/>
      <x:c r="J57" s="94"/>
    </x:row>
    <x:row r="58">
      <x:c r="A58" s="94"/>
      <x:c r="B58" s="94"/>
      <x:c r="C58" s="94"/>
      <x:c r="D58" s="94"/>
      <x:c r="E58" s="94"/>
      <x:c r="F58" s="94"/>
      <x:c r="G58" s="94"/>
      <x:c r="H58" s="94"/>
      <x:c r="I58" s="94"/>
      <x:c r="J58" s="94"/>
    </x:row>
    <x:row r="59">
      <x:c r="A59" s="94"/>
      <x:c r="B59" s="94"/>
      <x:c r="C59" s="94"/>
      <x:c r="D59" s="94"/>
      <x:c r="E59" s="94"/>
      <x:c r="F59" s="94"/>
      <x:c r="G59" s="94"/>
      <x:c r="H59" s="94"/>
      <x:c r="I59" s="94"/>
      <x:c r="J59" s="94"/>
    </x:row>
    <x:row r="60">
      <x:c r="A60" s="94"/>
      <x:c r="B60" s="94"/>
      <x:c r="C60" s="94"/>
      <x:c r="D60" s="94"/>
      <x:c r="E60" s="94"/>
      <x:c r="F60" s="94"/>
      <x:c r="G60" s="94"/>
      <x:c r="H60" s="94"/>
      <x:c r="I60" s="94"/>
      <x:c r="J60" s="94"/>
    </x:row>
  </x:sheetData>
  <x:mergeCells>
    <x:mergeCell ref="A1:H1"/>
    <x:mergeCell ref="A2:H2"/>
  </x:mergeCells>
  <x:pageMargins left="0.7" right="0.7" top="0.75" bottom="0.75" header="0.3" footer="0.3"/>
  <x:tableParts count="1">
    <x:tablePart xmlns:r="http://schemas.openxmlformats.org/officeDocument/2006/relationships" r:id="R41d8b0155ec14ec2"/>
  </x:tableParts>
</x:worksheet>
</file>

<file path=xl/worksheets/sheet40.xml><?xml version="1.0" encoding="utf-8"?>
<x:worksheet xmlns:x="http://schemas.openxmlformats.org/spreadsheetml/2006/main">
  <x:sheetFormatPr defaultRowHeight="15"/>
  <x:cols>
    <x:col min="1" max="1" width="20" hidden="0" customWidth="1"/>
    <x:col min="2" max="2" width="24" hidden="0" customWidth="1"/>
    <x:col min="3" max="3" width="16" hidden="0" customWidth="1"/>
    <x:col min="4" max="4" width="14" hidden="0" customWidth="1"/>
    <x:col min="5" max="5" width="16" hidden="0" customWidth="1"/>
    <x:col min="6" max="6" width="14" hidden="0" customWidth="1"/>
    <x:col min="7" max="7" width="18" hidden="0" customWidth="1"/>
    <x:col min="8" max="8" width="16" hidden="0" customWidth="1"/>
    <x:col min="9" max="9" width="18" hidden="0" customWidth="1"/>
    <x:col min="10" max="10" width="16" hidden="0" customWidth="1"/>
    <x:col min="11" max="11" width="32" hidden="0" customWidth="1"/>
    <x:col min="12" max="12" width="40" hidden="0" customWidth="1"/>
  </x:cols>
  <x:sheetData>
    <x:row r="1" ht="28" customHeight="1">
      <x:c r="A1" s="214" t="str">
        <x:v>Hail × Solar v1.3 — Base Curve Fit Audit</x:v>
      </x:c>
      <x:c r="B1" s="94"/>
      <x:c r="C1" s="94"/>
      <x:c r="D1" s="94"/>
      <x:c r="E1" s="94"/>
      <x:c r="F1" s="94"/>
      <x:c r="G1" s="94"/>
      <x:c r="H1" s="94"/>
      <x:c r="I1" s="94"/>
      <x:c r="J1" s="94"/>
    </x:row>
    <x:row r="2" ht="42" customHeight="1">
      <x:c r="A2" s="198" t="str">
        <x:v>This sheet makes the curve curation reproducible. The default and hardened curves are two-anchor logistic fits. The fragile curve is a logit-space least-squares fit to public PVEL aggregate anchors.</x:v>
      </x:c>
      <x:c r="B2" s="94"/>
      <x:c r="C2" s="94"/>
      <x:c r="D2" s="94"/>
      <x:c r="E2" s="94"/>
      <x:c r="F2" s="94"/>
      <x:c r="G2" s="94"/>
      <x:c r="H2" s="94"/>
      <x:c r="I2" s="94"/>
      <x:c r="J2" s="94"/>
    </x:row>
    <x:row r="3">
      <x:c r="A3" s="94"/>
      <x:c r="B3" s="94"/>
      <x:c r="C3" s="94"/>
      <x:c r="D3" s="94"/>
      <x:c r="E3" s="94"/>
      <x:c r="F3" s="94"/>
      <x:c r="G3" s="94"/>
      <x:c r="H3" s="94"/>
      <x:c r="I3" s="94"/>
      <x:c r="J3" s="94"/>
    </x:row>
    <x:row r="4">
      <x:c r="A4" s="215" t="str">
        <x:v>concept</x:v>
      </x:c>
      <x:c r="B4" s="215" t="str">
        <x:v>formula</x:v>
      </x:c>
      <x:c r="C4" s="215" t="str">
        <x:v>purpose</x:v>
      </x:c>
      <x:c r="D4" s="215" t="str">
        <x:v>notes</x:v>
      </x:c>
      <x:c r="E4" s="94"/>
      <x:c r="F4" s="94"/>
      <x:c r="G4" s="94"/>
      <x:c r="H4" s="94"/>
      <x:c r="I4" s="94"/>
      <x:c r="J4" s="94"/>
    </x:row>
    <x:row r="5">
      <x:c r="A5" s="94" t="str">
        <x:v>logit</x:v>
      </x:c>
      <x:c r="B5" s="94" t="str">
        <x:v>logit(p)=ln(p/(1-p))</x:v>
      </x:c>
      <x:c r="C5" s="94" t="str">
        <x:v>Linearizes a logistic curve for two-anchor fitting.</x:v>
      </x:c>
      <x:c r="D5" s="94" t="str">
        <x:v>Use p strictly between 0 and 1.</x:v>
      </x:c>
      <x:c r="E5" s="94"/>
      <x:c r="F5" s="94"/>
      <x:c r="G5" s="94"/>
      <x:c r="H5" s="94"/>
      <x:c r="I5" s="94"/>
      <x:c r="J5" s="94"/>
    </x:row>
    <x:row r="6">
      <x:c r="A6" s="94" t="str">
        <x:v>curve</x:v>
      </x:c>
      <x:c r="B6" s="94" t="str">
        <x:v>P_break(D)=1/(1+exp(-k×(D-D50)))</x:v>
      </x:c>
      <x:c r="C6" s="94" t="str">
        <x:v>Bounded monotonic curve for module glass breakage / replacement trigger.</x:v>
      </x:c>
      <x:c r="D6" s="94" t="str">
        <x:v>v1 uses P_break as module replacement DR.</x:v>
      </x:c>
      <x:c r="E6" s="94"/>
      <x:c r="F6" s="94"/>
      <x:c r="G6" s="94"/>
      <x:c r="H6" s="94"/>
      <x:c r="I6" s="94"/>
      <x:c r="J6" s="94"/>
    </x:row>
    <x:row r="7">
      <x:c r="A7" s="94" t="str">
        <x:v>two-anchor k</x:v>
      </x:c>
      <x:c r="B7" s="94" t="str">
        <x:v>k=[logit(p2)-logit(p1)]/(D2-D1)</x:v>
      </x:c>
      <x:c r="C7" s="94" t="str">
        <x:v>Fits steepness from two evidence anchors.</x:v>
      </x:c>
      <x:c r="D7" s="94" t="str">
        <x:v>Used for default and hardened curves.</x:v>
      </x:c>
      <x:c r="E7" s="94"/>
      <x:c r="F7" s="94"/>
      <x:c r="G7" s="94"/>
      <x:c r="H7" s="94"/>
      <x:c r="I7" s="94"/>
      <x:c r="J7" s="94"/>
    </x:row>
    <x:row r="8">
      <x:c r="A8" s="94" t="str">
        <x:v>two-anchor D50</x:v>
      </x:c>
      <x:c r="B8" s="94" t="str">
        <x:v>D50=D1-logit(p1)/k</x:v>
      </x:c>
      <x:c r="C8" s="94" t="str">
        <x:v>Finds diameter where P_break=50%.</x:v>
      </x:c>
      <x:c r="D8" s="94" t="str">
        <x:v>D50 is horizontal resistance threshold.</x:v>
      </x:c>
      <x:c r="E8" s="94"/>
      <x:c r="F8" s="94"/>
      <x:c r="G8" s="94"/>
      <x:c r="H8" s="94"/>
      <x:c r="I8" s="94"/>
      <x:c r="J8" s="94"/>
    </x:row>
    <x:row r="9">
      <x:c r="A9" s="94" t="str">
        <x:v>loss bridge</x:v>
      </x:c>
      <x:c r="B9" s="94" t="str">
        <x:v>loss=DR×physical_base×value_share×f×exposure</x:v>
      </x:c>
      <x:c r="C9" s="94" t="str">
        <x:v>Connects failure-unit DR to value views.</x:v>
      </x:c>
      <x:c r="D9" s="94" t="str">
        <x:v>Financial views are optional downstream outputs.</x:v>
      </x:c>
      <x:c r="E9" s="94"/>
      <x:c r="F9" s="94"/>
      <x:c r="G9" s="94"/>
      <x:c r="H9" s="94"/>
      <x:c r="I9" s="94"/>
      <x:c r="J9" s="94"/>
    </x:row>
    <x:row r="10">
      <x:c r="A10" s="94"/>
      <x:c r="B10" s="94"/>
      <x:c r="C10" s="94"/>
      <x:c r="D10" s="94"/>
      <x:c r="E10" s="94"/>
      <x:c r="F10" s="94"/>
      <x:c r="G10" s="94"/>
      <x:c r="H10" s="94"/>
      <x:c r="I10" s="94"/>
      <x:c r="J10" s="94"/>
    </x:row>
    <x:row r="11">
      <x:c r="A11" s="94"/>
      <x:c r="B11" s="94"/>
      <x:c r="C11" s="94"/>
      <x:c r="D11" s="94"/>
      <x:c r="E11" s="94"/>
      <x:c r="F11" s="94"/>
      <x:c r="G11" s="94"/>
      <x:c r="H11" s="94"/>
      <x:c r="I11" s="94"/>
      <x:c r="J11" s="94"/>
    </x:row>
    <x:row r="12">
      <x:c r="A12" s="215" t="str">
        <x:v>curve_id</x:v>
      </x:c>
      <x:c r="B12" s="215" t="str">
        <x:v>archetype</x:v>
      </x:c>
      <x:c r="C12" s="215" t="str">
        <x:v>D1_mm</x:v>
      </x:c>
      <x:c r="D12" s="215" t="str">
        <x:v>p1</x:v>
      </x:c>
      <x:c r="E12" s="215" t="str">
        <x:v>D2_mm</x:v>
      </x:c>
      <x:c r="F12" s="215" t="str">
        <x:v>p2</x:v>
      </x:c>
      <x:c r="G12" s="215" t="str">
        <x:v>k_calc</x:v>
      </x:c>
      <x:c r="H12" s="215" t="str">
        <x:v>D50_calc</x:v>
      </x:c>
      <x:c r="I12" s="215" t="str">
        <x:v>fit_method</x:v>
      </x:c>
      <x:c r="J12" s="215" t="str">
        <x:v>evidence_basis</x:v>
      </x:c>
      <x:c r="K12" s="203" t="str">
        <x:v>confidence</x:v>
      </x:c>
      <x:c r="L12" s="203" t="str">
        <x:v>caveat</x:v>
      </x:c>
    </x:row>
    <x:row r="13">
      <x:c r="A13" s="94" t="str">
        <x:v>HAIL_SOLAR_DEFAULT_3P2_GBS</x:v>
      </x:c>
      <x:c r="B13" s="94" t="str">
        <x:v>Default / 3.2mm glass//backsheet</x:v>
      </x:c>
      <x:c r="C13" s="94" t="n">
        <x:v>25</x:v>
      </x:c>
      <x:c r="D13" s="94" t="n">
        <x:v>0.01</x:v>
      </x:c>
      <x:c r="E13" s="94" t="n">
        <x:v>50</x:v>
      </x:c>
      <x:c r="F13" s="94" t="n">
        <x:v>0.39</x:v>
      </x:c>
      <x:c r="G13" s="217" t="n">
        <x:f>(LN(F13/(1-F13))-LN(D13/(1-D13)))/(E13-C13)</x:f>
        <x:v>0.16591230528363698</x:v>
      </x:c>
      <x:c r="H13" s="217" t="n">
        <x:f>C13-LN(D13/(1-D13))/G13</x:f>
        <x:v>52.69607620290103</x:v>
      </x:c>
      <x:c r="I13" s="94" t="str">
        <x:v>two-anchor logistic</x:v>
      </x:c>
      <x:c r="J13" s="94" t="str">
        <x:v>IEC 25mm near-zero + PVEL 2023 50mm 39% GBS breakage</x:v>
      </x:c>
      <x:c r="K13" s="24" t="str">
        <x:v>medium</x:v>
      </x:c>
      <x:c r="L13" s="24" t="str">
        <x:v>Sparse public anchor; lab targeted impacts; not claims calibrated.</x:v>
      </x:c>
    </x:row>
    <x:row r="14">
      <x:c r="A14" s="94" t="str">
        <x:v>HAIL_SOLAR_HARDENED_THICKER</x:v>
      </x:c>
      <x:c r="B14" s="94" t="str">
        <x:v>Hail-hardened / thicker-glass design</x:v>
      </x:c>
      <x:c r="C14" s="94" t="n">
        <x:v>25</x:v>
      </x:c>
      <x:c r="D14" s="94" t="n">
        <x:v>0.005</x:v>
      </x:c>
      <x:c r="E14" s="94" t="n">
        <x:v>45</x:v>
      </x:c>
      <x:c r="F14" s="94" t="n">
        <x:v>0.07</x:v>
      </x:c>
      <x:c r="G14" s="217" t="n">
        <x:f>(LN(F14/(1-F14))-LN(D14/(1-D14)))/(E14-C14)</x:f>
        <x:v>0.13533077403132748</x:v>
      </x:c>
      <x:c r="H14" s="217" t="n">
        <x:f>C14-LN(D14/(1-D14))/G14</x:f>
        <x:v>64.11382952335109</x:v>
      </x:c>
      <x:c r="I14" s="94" t="str">
        <x:v>two-anchor logistic</x:v>
      </x:c>
      <x:c r="J14" s="94" t="str">
        <x:v>IEC 25mm near-zero + current PVEL thicker/hardened low breakage around 45mm</x:v>
      </x:c>
      <x:c r="K14" s="24" t="str">
        <x:v>low/medium</x:v>
      </x:c>
      <x:c r="L14" s="24" t="str">
        <x:v>Hardened category sample sizes limited; tail extrapolated.</x:v>
      </x:c>
    </x:row>
    <x:row r="15">
      <x:c r="A15" s="94" t="str">
        <x:v>HAIL_SOLAR_FRAGILE_THIN_GG</x:v>
      </x:c>
      <x:c r="B15" s="94" t="str">
        <x:v>Fragile / thin 2.0mm glass//glass</x:v>
      </x:c>
      <x:c r="C15" s="94"/>
      <x:c r="D15" s="94"/>
      <x:c r="E15" s="94"/>
      <x:c r="F15" s="94"/>
      <x:c r="G15" s="217" t="n">
        <x:v>0.2206330604244443</x:v>
      </x:c>
      <x:c r="H15" s="217" t="n">
        <x:v>41.07384158689197</x:v>
      </x:c>
      <x:c r="I15" s="94" t="str">
        <x:v>logit-space least-squares</x:v>
      </x:c>
      <x:c r="J15" s="94" t="str">
        <x:v>PVEL 2023/2025 thin GG aggregate anchors at 35/40/45/50mm</x:v>
      </x:c>
      <x:c r="K15" s="24" t="str">
        <x:v>medium</x:v>
      </x:c>
      <x:c r="L15" s="24" t="str">
        <x:v>Public aggregate, not BOM-specific; lab targeted impacts.</x:v>
      </x:c>
    </x:row>
    <x:row r="16">
      <x:c r="A16" s="94"/>
      <x:c r="B16" s="94"/>
      <x:c r="C16" s="94"/>
      <x:c r="D16" s="94"/>
      <x:c r="E16" s="94"/>
      <x:c r="F16" s="94"/>
      <x:c r="G16" s="94"/>
      <x:c r="H16" s="94"/>
      <x:c r="I16" s="94"/>
      <x:c r="J16" s="94"/>
    </x:row>
    <x:row r="17">
      <x:c r="A17" s="94"/>
      <x:c r="B17" s="94"/>
      <x:c r="C17" s="94"/>
      <x:c r="D17" s="94"/>
      <x:c r="E17" s="94"/>
      <x:c r="F17" s="94"/>
      <x:c r="G17" s="94"/>
      <x:c r="H17" s="94"/>
      <x:c r="I17" s="94"/>
      <x:c r="J17" s="94"/>
    </x:row>
    <x:row r="18">
      <x:c r="A18" s="215" t="str">
        <x:v>anchor_id</x:v>
      </x:c>
      <x:c r="B18" s="215" t="str">
        <x:v>curve_id</x:v>
      </x:c>
      <x:c r="C18" s="215" t="str">
        <x:v>D_mm</x:v>
      </x:c>
      <x:c r="D18" s="215" t="str">
        <x:v>p_break</x:v>
      </x:c>
      <x:c r="E18" s="215" t="str">
        <x:v>source</x:v>
      </x:c>
      <x:c r="F18" s="215" t="str">
        <x:v>source_role</x:v>
      </x:c>
      <x:c r="G18" s="215" t="str">
        <x:v>included_in_fit</x:v>
      </x:c>
      <x:c r="H18" s="215" t="str">
        <x:v>hard_or_soft_anchor</x:v>
      </x:c>
      <x:c r="I18" s="215" t="str">
        <x:v>caveat</x:v>
      </x:c>
      <x:c r="J18" s="215" t="str">
        <x:v>url</x:v>
      </x:c>
    </x:row>
    <x:row r="19">
      <x:c r="A19" s="94" t="str">
        <x:v>A_IEC_25_DEFAULT</x:v>
      </x:c>
      <x:c r="B19" s="94" t="str">
        <x:v>HAIL_SOLAR_DEFAULT_3P2_GBS</x:v>
      </x:c>
      <x:c r="C19" s="94" t="n">
        <x:v>25</x:v>
      </x:c>
      <x:c r="D19" s="94" t="n">
        <x:v>0.01</x:v>
      </x:c>
      <x:c r="E19" s="94" t="str">
        <x:v>DOE/FEMP IEC table</x:v>
      </x:c>
      <x:c r="F19" s="94" t="str">
        <x:v>near-zero baseline</x:v>
      </x:c>
      <x:c r="G19" s="94" t="str">
        <x:v>yes</x:v>
      </x:c>
      <x:c r="H19" s="94" t="str">
        <x:v>soft quantified assumption</x:v>
      </x:c>
      <x:c r="I19" s="94" t="str">
        <x:v>IEC pass is not a field damage curve; 1% chosen as near-zero replacement probability.</x:v>
      </x:c>
      <x:c r="J19" s="94" t="str">
        <x:v>https://www.energy.gov/femp/hail-damage-mitigation-solar-photovoltaic-systems</x:v>
      </x:c>
    </x:row>
    <x:row r="20">
      <x:c r="A20" s="94" t="str">
        <x:v>A_PVEL_2023_GBS_50</x:v>
      </x:c>
      <x:c r="B20" s="94" t="str">
        <x:v>HAIL_SOLAR_DEFAULT_3P2_GBS</x:v>
      </x:c>
      <x:c r="C20" s="94" t="n">
        <x:v>50</x:v>
      </x:c>
      <x:c r="D20" s="94" t="n">
        <x:v>0.39</x:v>
      </x:c>
      <x:c r="E20" s="94" t="str">
        <x:v>PVEL 2023 HSS</x:v>
      </x:c>
      <x:c r="F20" s="94" t="str">
        <x:v>glass breakage anchor</x:v>
      </x:c>
      <x:c r="G20" s="94" t="str">
        <x:v>yes</x:v>
      </x:c>
      <x:c r="H20" s="94" t="str">
        <x:v>hard public aggregate</x:v>
      </x:c>
      <x:c r="I20" s="94" t="str">
        <x:v>Lab targeted impacts; aggregate across tested BOMs.</x:v>
      </x:c>
      <x:c r="J20" s="94" t="str">
        <x:v>https://2023modulescorecard.pvel.com/hail-stress-sequence/</x:v>
      </x:c>
    </x:row>
    <x:row r="21">
      <x:c r="A21" s="94" t="str">
        <x:v>A_IEC_25_HARDENED</x:v>
      </x:c>
      <x:c r="B21" s="94" t="str">
        <x:v>HAIL_SOLAR_HARDENED_THICKER</x:v>
      </x:c>
      <x:c r="C21" s="94" t="n">
        <x:v>25</x:v>
      </x:c>
      <x:c r="D21" s="94" t="n">
        <x:v>0.005</x:v>
      </x:c>
      <x:c r="E21" s="94" t="str">
        <x:v>DOE/FEMP IEC table</x:v>
      </x:c>
      <x:c r="F21" s="94" t="str">
        <x:v>near-zero hardened baseline</x:v>
      </x:c>
      <x:c r="G21" s="94" t="str">
        <x:v>yes</x:v>
      </x:c>
      <x:c r="H21" s="94" t="str">
        <x:v>soft quantified assumption</x:v>
      </x:c>
      <x:c r="I21" s="94" t="str">
        <x:v>Hardened should be no worse than baseline; 0.5% is assumption.</x:v>
      </x:c>
      <x:c r="J21" s="94" t="str">
        <x:v>https://www.energy.gov/femp/hail-damage-mitigation-solar-photovoltaic-systems</x:v>
      </x:c>
    </x:row>
    <x:row r="22">
      <x:c r="A22" s="94" t="str">
        <x:v>A_PVEL_2025_THICK_45</x:v>
      </x:c>
      <x:c r="B22" s="94" t="str">
        <x:v>HAIL_SOLAR_HARDENED_THICKER</x:v>
      </x:c>
      <x:c r="C22" s="94" t="n">
        <x:v>45</x:v>
      </x:c>
      <x:c r="D22" s="94" t="n">
        <x:v>0.07</x:v>
      </x:c>
      <x:c r="E22" s="94" t="str">
        <x:v>Kiwa PVEL current HSS</x:v>
      </x:c>
      <x:c r="F22" s="94" t="str">
        <x:v>hardened/thicker-glass anchor</x:v>
      </x:c>
      <x:c r="G22" s="94" t="str">
        <x:v>yes</x:v>
      </x:c>
      <x:c r="H22" s="94" t="str">
        <x:v>public aggregate / limited sample</x:v>
      </x:c>
      <x:c r="I22" s="94" t="str">
        <x:v>Hardened category sample sizes limited; public page communicates comparative result.</x:v>
      </x:c>
      <x:c r="J22" s="94" t="str">
        <x:v>https://scorecard.pvel.com/hail-stress-sequence/</x:v>
      </x:c>
    </x:row>
    <x:row r="23">
      <x:c r="A23" s="94" t="str">
        <x:v>A_PVEL_2023_GG_35</x:v>
      </x:c>
      <x:c r="B23" s="94" t="str">
        <x:v>HAIL_SOLAR_FRAGILE_THIN_GG</x:v>
      </x:c>
      <x:c r="C23" s="94" t="n">
        <x:v>35</x:v>
      </x:c>
      <x:c r="D23" s="94" t="n">
        <x:v>0.18</x:v>
      </x:c>
      <x:c r="E23" s="94" t="str">
        <x:v>PVEL 2023 HSS</x:v>
      </x:c>
      <x:c r="F23" s="94" t="str">
        <x:v>fragile anchor</x:v>
      </x:c>
      <x:c r="G23" s="94" t="str">
        <x:v>yes</x:v>
      </x:c>
      <x:c r="H23" s="94" t="str">
        <x:v>hard public aggregate</x:v>
      </x:c>
      <x:c r="I23" s="94" t="str">
        <x:v>Reduced impact energy retest; lab targeted impacts.</x:v>
      </x:c>
      <x:c r="J23" s="94" t="str">
        <x:v>https://2023modulescorecard.pvel.com/hail-stress-sequence/</x:v>
      </x:c>
    </x:row>
    <x:row r="24">
      <x:c r="A24" s="94" t="str">
        <x:v>A_PVEL_2023_GG_40</x:v>
      </x:c>
      <x:c r="B24" s="94" t="str">
        <x:v>HAIL_SOLAR_FRAGILE_THIN_GG</x:v>
      </x:c>
      <x:c r="C24" s="94" t="n">
        <x:v>40</x:v>
      </x:c>
      <x:c r="D24" s="94" t="n">
        <x:v>0.57</x:v>
      </x:c>
      <x:c r="E24" s="94" t="str">
        <x:v>PVEL 2023 HSS</x:v>
      </x:c>
      <x:c r="F24" s="94" t="str">
        <x:v>fragile anchor</x:v>
      </x:c>
      <x:c r="G24" s="94" t="str">
        <x:v>yes</x:v>
      </x:c>
      <x:c r="H24" s="94" t="str">
        <x:v>hard public aggregate</x:v>
      </x:c>
      <x:c r="I24" s="94" t="str">
        <x:v>Lab targeted impacts.</x:v>
      </x:c>
      <x:c r="J24" s="94" t="str">
        <x:v>https://2023modulescorecard.pvel.com/hail-stress-sequence/</x:v>
      </x:c>
    </x:row>
    <x:row r="25">
      <x:c r="A25" s="94" t="str">
        <x:v>A_PVEL_2025_GG_40</x:v>
      </x:c>
      <x:c r="B25" s="94" t="str">
        <x:v>HAIL_SOLAR_FRAGILE_THIN_GG</x:v>
      </x:c>
      <x:c r="C25" s="94" t="n">
        <x:v>40</x:v>
      </x:c>
      <x:c r="D25" s="94" t="n">
        <x:v>0.43</x:v>
      </x:c>
      <x:c r="E25" s="94" t="str">
        <x:v>Kiwa PVEL current HSS</x:v>
      </x:c>
      <x:c r="F25" s="94" t="str">
        <x:v>fragile anchor</x:v>
      </x:c>
      <x:c r="G25" s="94" t="str">
        <x:v>yes</x:v>
      </x:c>
      <x:c r="H25" s="94" t="str">
        <x:v>public aggregate</x:v>
      </x:c>
      <x:c r="I25" s="94" t="str">
        <x:v>Dataset mix differs across years; included to avoid overfitting one scorecard year.</x:v>
      </x:c>
      <x:c r="J25" s="94" t="str">
        <x:v>https://scorecard.pvel.com/hail-stress-sequence/</x:v>
      </x:c>
    </x:row>
    <x:row r="26">
      <x:c r="A26" s="94" t="str">
        <x:v>A_PVEL_2025_GG_45</x:v>
      </x:c>
      <x:c r="B26" s="94" t="str">
        <x:v>HAIL_SOLAR_FRAGILE_THIN_GG</x:v>
      </x:c>
      <x:c r="C26" s="94" t="n">
        <x:v>45</x:v>
      </x:c>
      <x:c r="D26" s="94" t="n">
        <x:v>0.61</x:v>
      </x:c>
      <x:c r="E26" s="94" t="str">
        <x:v>Kiwa PVEL current HSS</x:v>
      </x:c>
      <x:c r="F26" s="94" t="str">
        <x:v>fragile anchor</x:v>
      </x:c>
      <x:c r="G26" s="94" t="str">
        <x:v>yes</x:v>
      </x:c>
      <x:c r="H26" s="94" t="str">
        <x:v>public aggregate</x:v>
      </x:c>
      <x:c r="I26" s="94" t="str">
        <x:v>Dataset mix differs across years.</x:v>
      </x:c>
      <x:c r="J26" s="94" t="str">
        <x:v>https://scorecard.pvel.com/hail-stress-sequence/</x:v>
      </x:c>
    </x:row>
    <x:row r="27">
      <x:c r="A27" s="94" t="str">
        <x:v>A_PVEL_2023_GG_50</x:v>
      </x:c>
      <x:c r="B27" s="94" t="str">
        <x:v>HAIL_SOLAR_FRAGILE_THIN_GG</x:v>
      </x:c>
      <x:c r="C27" s="94" t="n">
        <x:v>50</x:v>
      </x:c>
      <x:c r="D27" s="94" t="n">
        <x:v>0.89</x:v>
      </x:c>
      <x:c r="E27" s="94" t="str">
        <x:v>PVEL 2023 HSS</x:v>
      </x:c>
      <x:c r="F27" s="94" t="str">
        <x:v>fragile anchor</x:v>
      </x:c>
      <x:c r="G27" s="94" t="str">
        <x:v>yes</x:v>
      </x:c>
      <x:c r="H27" s="94" t="str">
        <x:v>hard public aggregate</x:v>
      </x:c>
      <x:c r="I27" s="94" t="str">
        <x:v>Lab targeted impacts.</x:v>
      </x:c>
      <x:c r="J27" s="94" t="str">
        <x:v>https://2023modulescorecard.pvel.com/hail-stress-sequence/</x:v>
      </x:c>
    </x:row>
    <x:row r="28">
      <x:c r="A28" s="94"/>
      <x:c r="B28" s="94"/>
      <x:c r="C28" s="94"/>
      <x:c r="D28" s="94"/>
      <x:c r="E28" s="94"/>
      <x:c r="F28" s="94"/>
      <x:c r="G28" s="94"/>
      <x:c r="H28" s="94"/>
      <x:c r="I28" s="94"/>
      <x:c r="J28" s="94"/>
    </x:row>
    <x:row r="29">
      <x:c r="A29" s="94"/>
      <x:c r="B29" s="94"/>
      <x:c r="C29" s="94"/>
      <x:c r="D29" s="94"/>
      <x:c r="E29" s="94"/>
      <x:c r="F29" s="94"/>
      <x:c r="G29" s="94"/>
      <x:c r="H29" s="94"/>
      <x:c r="I29" s="94"/>
      <x:c r="J29" s="94"/>
    </x:row>
    <x:row r="30">
      <x:c r="A30" s="94"/>
      <x:c r="B30" s="94"/>
      <x:c r="C30" s="94"/>
      <x:c r="D30" s="94"/>
      <x:c r="E30" s="94"/>
      <x:c r="F30" s="94"/>
      <x:c r="G30" s="94"/>
      <x:c r="H30" s="94"/>
      <x:c r="I30" s="94"/>
      <x:c r="J30" s="94"/>
    </x:row>
    <x:row r="31">
      <x:c r="A31" s="94"/>
      <x:c r="B31" s="94"/>
      <x:c r="C31" s="94"/>
      <x:c r="D31" s="94"/>
      <x:c r="E31" s="94"/>
      <x:c r="F31" s="94"/>
      <x:c r="G31" s="94"/>
      <x:c r="H31" s="94"/>
      <x:c r="I31" s="94"/>
      <x:c r="J31" s="94"/>
    </x:row>
    <x:row r="32">
      <x:c r="A32" s="94"/>
      <x:c r="B32" s="94"/>
      <x:c r="C32" s="94"/>
      <x:c r="D32" s="94"/>
      <x:c r="E32" s="94"/>
      <x:c r="F32" s="94"/>
      <x:c r="G32" s="94"/>
      <x:c r="H32" s="94"/>
      <x:c r="I32" s="94"/>
      <x:c r="J32" s="94"/>
    </x:row>
    <x:row r="33">
      <x:c r="A33" s="94"/>
      <x:c r="B33" s="94"/>
      <x:c r="C33" s="94"/>
      <x:c r="D33" s="94"/>
      <x:c r="E33" s="94"/>
      <x:c r="F33" s="94"/>
      <x:c r="G33" s="94"/>
      <x:c r="H33" s="94"/>
      <x:c r="I33" s="94"/>
      <x:c r="J33" s="94"/>
    </x:row>
    <x:row r="34">
      <x:c r="A34" s="94"/>
      <x:c r="B34" s="94"/>
      <x:c r="C34" s="94"/>
      <x:c r="D34" s="94"/>
      <x:c r="E34" s="94"/>
      <x:c r="F34" s="94"/>
      <x:c r="G34" s="94"/>
      <x:c r="H34" s="94"/>
      <x:c r="I34" s="94"/>
      <x:c r="J34" s="94"/>
    </x:row>
    <x:row r="35">
      <x:c r="A35" s="94"/>
      <x:c r="B35" s="94"/>
      <x:c r="C35" s="94"/>
      <x:c r="D35" s="94"/>
      <x:c r="E35" s="94"/>
      <x:c r="F35" s="94"/>
      <x:c r="G35" s="94"/>
      <x:c r="H35" s="94"/>
      <x:c r="I35" s="94"/>
      <x:c r="J35" s="94"/>
    </x:row>
    <x:row r="36">
      <x:c r="A36" s="94"/>
      <x:c r="B36" s="94"/>
      <x:c r="C36" s="94"/>
      <x:c r="D36" s="94"/>
      <x:c r="E36" s="94"/>
      <x:c r="F36" s="94"/>
      <x:c r="G36" s="94"/>
      <x:c r="H36" s="94"/>
      <x:c r="I36" s="94"/>
      <x:c r="J36" s="94"/>
    </x:row>
    <x:row r="37">
      <x:c r="A37" s="94"/>
      <x:c r="B37" s="94"/>
      <x:c r="C37" s="94"/>
      <x:c r="D37" s="94"/>
      <x:c r="E37" s="94"/>
      <x:c r="F37" s="94"/>
      <x:c r="G37" s="94"/>
      <x:c r="H37" s="94"/>
      <x:c r="I37" s="94"/>
      <x:c r="J37" s="94"/>
    </x:row>
    <x:row r="38">
      <x:c r="A38" s="94"/>
      <x:c r="B38" s="94"/>
      <x:c r="C38" s="94"/>
      <x:c r="D38" s="94"/>
      <x:c r="E38" s="94"/>
      <x:c r="F38" s="94"/>
      <x:c r="G38" s="94"/>
      <x:c r="H38" s="94"/>
      <x:c r="I38" s="94"/>
      <x:c r="J38" s="94"/>
    </x:row>
    <x:row r="39">
      <x:c r="A39" s="94"/>
      <x:c r="B39" s="94"/>
      <x:c r="C39" s="94"/>
      <x:c r="D39" s="94"/>
      <x:c r="E39" s="94"/>
      <x:c r="F39" s="94"/>
      <x:c r="G39" s="94"/>
      <x:c r="H39" s="94"/>
      <x:c r="I39" s="94"/>
      <x:c r="J39" s="94"/>
    </x:row>
    <x:row r="40">
      <x:c r="A40" s="94"/>
      <x:c r="B40" s="94"/>
      <x:c r="C40" s="94"/>
      <x:c r="D40" s="94"/>
      <x:c r="E40" s="94"/>
      <x:c r="F40" s="94"/>
      <x:c r="G40" s="94"/>
      <x:c r="H40" s="94"/>
      <x:c r="I40" s="94"/>
      <x:c r="J40" s="94"/>
    </x:row>
    <x:row r="41">
      <x:c r="A41" s="94"/>
      <x:c r="B41" s="94"/>
      <x:c r="C41" s="94"/>
      <x:c r="D41" s="94"/>
      <x:c r="E41" s="94"/>
      <x:c r="F41" s="94"/>
      <x:c r="G41" s="94"/>
      <x:c r="H41" s="94"/>
      <x:c r="I41" s="94"/>
      <x:c r="J41" s="94"/>
    </x:row>
    <x:row r="42">
      <x:c r="A42" s="94"/>
      <x:c r="B42" s="94"/>
      <x:c r="C42" s="94"/>
      <x:c r="D42" s="94"/>
      <x:c r="E42" s="94"/>
      <x:c r="F42" s="94"/>
      <x:c r="G42" s="94"/>
      <x:c r="H42" s="94"/>
      <x:c r="I42" s="94"/>
      <x:c r="J42" s="94"/>
    </x:row>
    <x:row r="43">
      <x:c r="A43" s="94"/>
      <x:c r="B43" s="94"/>
      <x:c r="C43" s="94"/>
      <x:c r="D43" s="94"/>
      <x:c r="E43" s="94"/>
      <x:c r="F43" s="94"/>
      <x:c r="G43" s="94"/>
      <x:c r="H43" s="94"/>
      <x:c r="I43" s="94"/>
      <x:c r="J43" s="94"/>
    </x:row>
    <x:row r="44">
      <x:c r="A44" s="94"/>
      <x:c r="B44" s="94"/>
      <x:c r="C44" s="94"/>
      <x:c r="D44" s="94"/>
      <x:c r="E44" s="94"/>
      <x:c r="F44" s="94"/>
      <x:c r="G44" s="94"/>
      <x:c r="H44" s="94"/>
      <x:c r="I44" s="94"/>
      <x:c r="J44" s="94"/>
    </x:row>
    <x:row r="45">
      <x:c r="A45" s="94"/>
      <x:c r="B45" s="94"/>
      <x:c r="C45" s="94"/>
      <x:c r="D45" s="94"/>
      <x:c r="E45" s="94"/>
      <x:c r="F45" s="94"/>
      <x:c r="G45" s="94"/>
      <x:c r="H45" s="94"/>
      <x:c r="I45" s="94"/>
      <x:c r="J45" s="94"/>
    </x:row>
    <x:row r="46">
      <x:c r="A46" s="94"/>
      <x:c r="B46" s="94"/>
      <x:c r="C46" s="94"/>
      <x:c r="D46" s="94"/>
      <x:c r="E46" s="94"/>
      <x:c r="F46" s="94"/>
      <x:c r="G46" s="94"/>
      <x:c r="H46" s="94"/>
      <x:c r="I46" s="94"/>
      <x:c r="J46" s="94"/>
    </x:row>
    <x:row r="47">
      <x:c r="A47" s="94"/>
      <x:c r="B47" s="94"/>
      <x:c r="C47" s="94"/>
      <x:c r="D47" s="94"/>
      <x:c r="E47" s="94"/>
      <x:c r="F47" s="94"/>
      <x:c r="G47" s="94"/>
      <x:c r="H47" s="94"/>
      <x:c r="I47" s="94"/>
      <x:c r="J47" s="94"/>
    </x:row>
    <x:row r="48">
      <x:c r="A48" s="94"/>
      <x:c r="B48" s="94"/>
      <x:c r="C48" s="94"/>
      <x:c r="D48" s="94"/>
      <x:c r="E48" s="94"/>
      <x:c r="F48" s="94"/>
      <x:c r="G48" s="94"/>
      <x:c r="H48" s="94"/>
      <x:c r="I48" s="94"/>
      <x:c r="J48" s="94"/>
    </x:row>
    <x:row r="49">
      <x:c r="A49" s="94"/>
      <x:c r="B49" s="94"/>
      <x:c r="C49" s="94"/>
      <x:c r="D49" s="94"/>
      <x:c r="E49" s="94"/>
      <x:c r="F49" s="94"/>
      <x:c r="G49" s="94"/>
      <x:c r="H49" s="94"/>
      <x:c r="I49" s="94"/>
      <x:c r="J49" s="94"/>
    </x:row>
    <x:row r="50">
      <x:c r="A50" s="94"/>
      <x:c r="B50" s="94"/>
      <x:c r="C50" s="94"/>
      <x:c r="D50" s="94"/>
      <x:c r="E50" s="94"/>
      <x:c r="F50" s="94"/>
      <x:c r="G50" s="94"/>
      <x:c r="H50" s="94"/>
      <x:c r="I50" s="94"/>
      <x:c r="J50" s="94"/>
    </x:row>
    <x:row r="51">
      <x:c r="A51" s="94"/>
      <x:c r="B51" s="94"/>
      <x:c r="C51" s="94"/>
      <x:c r="D51" s="94"/>
      <x:c r="E51" s="94"/>
      <x:c r="F51" s="94"/>
      <x:c r="G51" s="94"/>
      <x:c r="H51" s="94"/>
      <x:c r="I51" s="94"/>
      <x:c r="J51" s="94"/>
    </x:row>
    <x:row r="52">
      <x:c r="A52" s="94"/>
      <x:c r="B52" s="94"/>
      <x:c r="C52" s="94"/>
      <x:c r="D52" s="94"/>
      <x:c r="E52" s="94"/>
      <x:c r="F52" s="94"/>
      <x:c r="G52" s="94"/>
      <x:c r="H52" s="94"/>
      <x:c r="I52" s="94"/>
      <x:c r="J52" s="94"/>
    </x:row>
    <x:row r="53">
      <x:c r="A53" s="94"/>
      <x:c r="B53" s="94"/>
      <x:c r="C53" s="94"/>
      <x:c r="D53" s="94"/>
      <x:c r="E53" s="94"/>
      <x:c r="F53" s="94"/>
      <x:c r="G53" s="94"/>
      <x:c r="H53" s="94"/>
      <x:c r="I53" s="94"/>
      <x:c r="J53" s="94"/>
    </x:row>
    <x:row r="54">
      <x:c r="A54" s="94"/>
      <x:c r="B54" s="94"/>
      <x:c r="C54" s="94"/>
      <x:c r="D54" s="94"/>
      <x:c r="E54" s="94"/>
      <x:c r="F54" s="94"/>
      <x:c r="G54" s="94"/>
      <x:c r="H54" s="94"/>
      <x:c r="I54" s="94"/>
      <x:c r="J54" s="94"/>
    </x:row>
    <x:row r="55">
      <x:c r="A55" s="94"/>
      <x:c r="B55" s="94"/>
      <x:c r="C55" s="94"/>
      <x:c r="D55" s="94"/>
      <x:c r="E55" s="94"/>
      <x:c r="F55" s="94"/>
      <x:c r="G55" s="94"/>
      <x:c r="H55" s="94"/>
      <x:c r="I55" s="94"/>
      <x:c r="J55" s="94"/>
    </x:row>
    <x:row r="56">
      <x:c r="A56" s="94"/>
      <x:c r="B56" s="94"/>
      <x:c r="C56" s="94"/>
      <x:c r="D56" s="94"/>
      <x:c r="E56" s="94"/>
      <x:c r="F56" s="94"/>
      <x:c r="G56" s="94"/>
      <x:c r="H56" s="94"/>
      <x:c r="I56" s="94"/>
      <x:c r="J56" s="94"/>
    </x:row>
    <x:row r="57">
      <x:c r="A57" s="94"/>
      <x:c r="B57" s="94"/>
      <x:c r="C57" s="94"/>
      <x:c r="D57" s="94"/>
      <x:c r="E57" s="94"/>
      <x:c r="F57" s="94"/>
      <x:c r="G57" s="94"/>
      <x:c r="H57" s="94"/>
      <x:c r="I57" s="94"/>
      <x:c r="J57" s="94"/>
    </x:row>
    <x:row r="58">
      <x:c r="A58" s="94"/>
      <x:c r="B58" s="94"/>
      <x:c r="C58" s="94"/>
      <x:c r="D58" s="94"/>
      <x:c r="E58" s="94"/>
      <x:c r="F58" s="94"/>
      <x:c r="G58" s="94"/>
      <x:c r="H58" s="94"/>
      <x:c r="I58" s="94"/>
      <x:c r="J58" s="94"/>
    </x:row>
    <x:row r="59">
      <x:c r="A59" s="94"/>
      <x:c r="B59" s="94"/>
      <x:c r="C59" s="94"/>
      <x:c r="D59" s="94"/>
      <x:c r="E59" s="94"/>
      <x:c r="F59" s="94"/>
      <x:c r="G59" s="94"/>
      <x:c r="H59" s="94"/>
      <x:c r="I59" s="94"/>
      <x:c r="J59" s="94"/>
    </x:row>
    <x:row r="60">
      <x:c r="A60" s="94"/>
      <x:c r="B60" s="94"/>
      <x:c r="C60" s="94"/>
      <x:c r="D60" s="94"/>
      <x:c r="E60" s="94"/>
      <x:c r="F60" s="94"/>
      <x:c r="G60" s="94"/>
      <x:c r="H60" s="94"/>
      <x:c r="I60" s="94"/>
      <x:c r="J60" s="94"/>
    </x:row>
  </x:sheetData>
  <x:mergeCells>
    <x:mergeCell ref="A1:H1"/>
    <x:mergeCell ref="A2:H2"/>
  </x:mergeCells>
  <x:pageMargins left="0.7" right="0.7" top="0.75" bottom="0.75" header="0.3" footer="0.3"/>
  <x:tableParts count="3">
    <x:tablePart xmlns:r="http://schemas.openxmlformats.org/officeDocument/2006/relationships" r:id="Raa39fff7bc354bed"/>
    <x:tablePart xmlns:r="http://schemas.openxmlformats.org/officeDocument/2006/relationships" r:id="R008365a508614d56"/>
    <x:tablePart xmlns:r="http://schemas.openxmlformats.org/officeDocument/2006/relationships" r:id="R321dfaf252db41a3"/>
  </x:tableParts>
</x:worksheet>
</file>

<file path=xl/worksheets/sheet41.xml><?xml version="1.0" encoding="utf-8"?>
<x:worksheet xmlns:x="http://schemas.openxmlformats.org/spreadsheetml/2006/main">
  <x:sheetFormatPr defaultRowHeight="15"/>
  <x:cols>
    <x:col min="1" max="1" width="22" hidden="0" customWidth="1"/>
    <x:col min="2" max="2" width="24" hidden="0" customWidth="1"/>
    <x:col min="3" max="3" width="32" hidden="0" customWidth="1"/>
    <x:col min="4" max="4" width="34" hidden="0" customWidth="1"/>
    <x:col min="5" max="5" width="34" hidden="0" customWidth="1"/>
    <x:col min="6" max="6" width="32" hidden="0" customWidth="1"/>
    <x:col min="7" max="7" width="28" hidden="0" customWidth="1"/>
    <x:col min="8" max="8" width="44" hidden="0" customWidth="1"/>
  </x:cols>
  <x:sheetData>
    <x:row r="1" ht="28" customHeight="1">
      <x:c r="A1" s="214" t="str">
        <x:v>Hail × Solar v1.3 — Selector and Conditioner Adjustment Rules</x:v>
      </x:c>
      <x:c r="B1" s="94"/>
      <x:c r="C1" s="94"/>
      <x:c r="D1" s="94"/>
      <x:c r="E1" s="94"/>
      <x:c r="F1" s="94"/>
      <x:c r="G1" s="94"/>
      <x:c r="H1" s="94"/>
      <x:c r="I1" s="94"/>
      <x:c r="J1" s="94"/>
    </x:row>
    <x:row r="2" ht="42" customHeight="1">
      <x:c r="A2" s="198" t="str">
        <x:v>This sheet answers when we create a separate curve, when we shift a curve, and when we simply multiply or blend outputs. It is intentionally more important than the final-looking curve picture.</x:v>
      </x:c>
      <x:c r="B2" s="94"/>
      <x:c r="C2" s="94"/>
      <x:c r="D2" s="94"/>
      <x:c r="E2" s="94"/>
      <x:c r="F2" s="94"/>
      <x:c r="G2" s="94"/>
      <x:c r="H2" s="94"/>
      <x:c r="I2" s="94"/>
      <x:c r="J2" s="94"/>
    </x:row>
    <x:row r="3">
      <x:c r="A3" s="94"/>
      <x:c r="B3" s="94"/>
      <x:c r="C3" s="94"/>
      <x:c r="D3" s="94"/>
      <x:c r="E3" s="94"/>
      <x:c r="F3" s="94"/>
      <x:c r="G3" s="94"/>
      <x:c r="H3" s="94"/>
      <x:c r="I3" s="94"/>
      <x:c r="J3" s="94"/>
    </x:row>
    <x:row r="4">
      <x:c r="A4" s="215" t="str">
        <x:v>decision</x:v>
      </x:c>
      <x:c r="B4" s="215" t="str">
        <x:v>use when</x:v>
      </x:c>
      <x:c r="C4" s="215" t="str">
        <x:v>current v1.3 implementation</x:v>
      </x:c>
      <x:c r="D4" s="215" t="str">
        <x:v>mathematical treatment</x:v>
      </x:c>
      <x:c r="E4" s="215" t="str">
        <x:v>new curve?</x:v>
      </x:c>
      <x:c r="F4" s="215" t="str">
        <x:v>example</x:v>
      </x:c>
      <x:c r="G4" s="215" t="str">
        <x:v>confidence</x:v>
      </x:c>
      <x:c r="H4" s="215" t="str">
        <x:v>replacement trigger</x:v>
      </x:c>
      <x:c r="I4" s="94"/>
      <x:c r="J4" s="94"/>
    </x:row>
    <x:row r="5">
      <x:c r="A5" s="94" t="str">
        <x:v>Select curve variant</x:v>
      </x:c>
      <x:c r="B5" s="94" t="str">
        <x:v>Fixed equipment attributes imply different module construction and public evidence supports different breakage behavior.</x:v>
      </x:c>
      <x:c r="C5" s="94" t="str">
        <x:v>module_archetype selects fragile/default/hardened curve family.</x:v>
      </x:c>
      <x:c r="D5" s="94" t="str">
        <x:v>Use variant-specific D50 and k.</x:v>
      </x:c>
      <x:c r="E5" s="94" t="str">
        <x:v>Yes, if archetype has evidence; otherwise map to closest variant.</x:v>
      </x:c>
      <x:c r="F5" s="94" t="str">
        <x:v>2.0mm glass//glass → fragile; 3.2mm glass//backsheet → default.</x:v>
      </x:c>
      <x:c r="G5" s="94" t="str">
        <x:v>medium</x:v>
      </x:c>
      <x:c r="H5" s="94" t="str">
        <x:v>BOM-specific hail test report or claims calibration.</x:v>
      </x:c>
      <x:c r="I5" s="94"/>
      <x:c r="J5" s="94"/>
    </x:row>
    <x:row r="6">
      <x:c r="A6" s="94" t="str">
        <x:v>Horizontal shift</x:v>
      </x:c>
      <x:c r="B6" s="94" t="str">
        <x:v>Same failure mechanism, but resistance threshold changes; stronger design requires larger hail to reach same damage probability.</x:v>
      </x:c>
      <x:c r="C6" s="94" t="str">
        <x:v>Stowed curve applies +8mm D50 shift to selected archetype.</x:v>
      </x:c>
      <x:c r="D6" s="94" t="str">
        <x:v>D50_adjusted = D50 + ΔD; k retained unless evidence says shape changes.</x:v>
      </x:c>
      <x:c r="E6" s="94" t="str">
        <x:v>No, this is a transformed variant.</x:v>
      </x:c>
      <x:c r="F6" s="94" t="str">
        <x:v>Stow state / high tilt reduces normal impact energy.</x:v>
      </x:c>
      <x:c r="G6" s="94" t="str">
        <x:v>low for numeric shift</x:v>
      </x:c>
      <x:c r="H6" s="94" t="str">
        <x:v>Tracker/stow-specific hail test data or physics model tied to angle.</x:v>
      </x:c>
      <x:c r="I6" s="94"/>
      <x:c r="J6" s="94"/>
    </x:row>
    <x:row r="7">
      <x:c r="A7" s="94" t="str">
        <x:v>Vertical cap/multiplier</x:v>
      </x:c>
      <x:c r="B7" s="94" t="str">
        <x:v>Exposed area or maximum affected fraction changes, but failure mechanism remains the same.</x:v>
      </x:c>
      <x:c r="C7" s="94" t="str">
        <x:v>Stowed curve applies max_DR multiplier 0.90.</x:v>
      </x:c>
      <x:c r="D7" s="94" t="str">
        <x:v>DR_adjusted = max_multiplier × logistic(D; D50+shift,k).</x:v>
      </x:c>
      <x:c r="E7" s="94" t="str">
        <x:v>No, this is exposure/cap adjustment.</x:v>
      </x:c>
      <x:c r="F7" s="94" t="str">
        <x:v>Hail stow may reduce surface exposed to direct impact.</x:v>
      </x:c>
      <x:c r="G7" s="94" t="str">
        <x:v>low for numeric multiplier</x:v>
      </x:c>
      <x:c r="H7" s="94" t="str">
        <x:v>Empirical stow loss reduction data.</x:v>
      </x:c>
      <x:c r="I7" s="94"/>
      <x:c r="J7" s="94"/>
    </x:row>
    <x:row r="8">
      <x:c r="A8" s="94" t="str">
        <x:v>Probability-weighted blend</x:v>
      </x:c>
      <x:c r="B8" s="94" t="str">
        <x:v>Event-time state is uncertain; actual state could be stowed or unstowed.</x:v>
      </x:c>
      <x:c r="C8" s="94" t="str">
        <x:v>P(stowed) blends stowed and unstowed DR.</x:v>
      </x:c>
      <x:c r="D8" s="94" t="str">
        <x:v>DR = P(stowed)×DR_stowed + (1-P)×DR_unstowed.</x:v>
      </x:c>
      <x:c r="E8" s="94" t="str">
        <x:v>No, this is a mixture output.</x:v>
      </x:c>
      <x:c r="F8" s="94" t="str">
        <x:v>Unknown tracker state during hail arrival.</x:v>
      </x:c>
      <x:c r="G8" s="94" t="str">
        <x:v>medium logic / low default P</x:v>
      </x:c>
      <x:c r="H8" s="94" t="str">
        <x:v>SCADA confirmation or operational log.</x:v>
      </x:c>
      <x:c r="I8" s="94"/>
      <x:c r="J8" s="94"/>
    </x:row>
    <x:row r="9">
      <x:c r="A9" s="94" t="str">
        <x:v>Exposure multiplier</x:v>
      </x:c>
      <x:c r="B9" s="94" t="str">
        <x:v>Only part of the array was hit by the damaging hail swath.</x:v>
      </x:c>
      <x:c r="C9" s="94" t="str">
        <x:v>array_exposure_fraction multiplies value-linked loss, not module DR.</x:v>
      </x:c>
      <x:c r="D9" s="94" t="str">
        <x:v>loss = DR × value × f × exposure_fraction.</x:v>
      </x:c>
      <x:c r="E9" s="94" t="str">
        <x:v>No, this is spatial exposure.</x:v>
      </x:c>
      <x:c r="F9" s="94" t="str">
        <x:v>Radar swath covers 60% of array footprint.</x:v>
      </x:c>
      <x:c r="G9" s="94" t="str">
        <x:v>medium</x:v>
      </x:c>
      <x:c r="H9" s="94" t="str">
        <x:v>Site overlay with MESH raster/polygon.</x:v>
      </x:c>
      <x:c r="I9" s="94"/>
      <x:c r="J9" s="94"/>
    </x:row>
    <x:row r="10">
      <x:c r="A10" s="94" t="str">
        <x:v>Create separate failure-unit curve</x:v>
      </x:c>
      <x:c r="B10" s="94" t="str">
        <x:v>Distinct material/equipment failure mechanism and material value share are both meaningful.</x:v>
      </x:c>
      <x:c r="C10" s="94" t="str">
        <x:v>Not done for inverter/substation direct hail in v1; documented as secondary/DR≈0.</x:v>
      </x:c>
      <x:c r="D10" s="94" t="str">
        <x:v>Separate DR_i(D) and value bucket required.</x:v>
      </x:c>
      <x:c r="E10" s="94" t="str">
        <x:v>Yes.</x:v>
      </x:c>
      <x:c r="F10" s="94" t="str">
        <x:v>If exposed met mast or tracker hardware hail damage becomes material and sourceable.</x:v>
      </x:c>
      <x:c r="G10" s="94" t="str">
        <x:v>case-specific</x:v>
      </x:c>
      <x:c r="H10" s="94" t="str">
        <x:v>Evidence of distinct material direct-hail loss.</x:v>
      </x:c>
      <x:c r="I10" s="94"/>
      <x:c r="J10" s="94"/>
    </x:row>
    <x:row r="11">
      <x:c r="A11" s="94" t="str">
        <x:v>Do not model / DR≈0</x:v>
      </x:c>
      <x:c r="B11" s="94" t="str">
        <x:v>Mechanism is not first-order or value is low/materiality not sourceable.</x:v>
      </x:c>
      <x:c r="C11" s="94" t="str">
        <x:v>Inverter/substation/civil/foundation direct hail DR≈0 in v1.</x:v>
      </x:c>
      <x:c r="D11" s="94" t="str">
        <x:v>Keep in coverage table for reconciliation; no curve.</x:v>
      </x:c>
      <x:c r="E11" s="94" t="str">
        <x:v>No.</x:v>
      </x:c>
      <x:c r="F11" s="94" t="str">
        <x:v>Hail does not normally damage foundation/civil replacement value.</x:v>
      </x:c>
      <x:c r="G11" s="94" t="str">
        <x:v>medium</x:v>
      </x:c>
      <x:c r="H11" s="94" t="str">
        <x:v>Claims/evidence showing material direct hail loss.</x:v>
      </x:c>
      <x:c r="I11" s="94"/>
      <x:c r="J11" s="94"/>
    </x:row>
    <x:row r="12">
      <x:c r="A12" s="94"/>
      <x:c r="B12" s="94"/>
      <x:c r="C12" s="94"/>
      <x:c r="D12" s="94"/>
      <x:c r="E12" s="94"/>
      <x:c r="F12" s="94"/>
      <x:c r="G12" s="94"/>
      <x:c r="H12" s="94"/>
      <x:c r="I12" s="94"/>
      <x:c r="J12" s="94"/>
    </x:row>
    <x:row r="13">
      <x:c r="A13" s="94"/>
      <x:c r="B13" s="94"/>
      <x:c r="C13" s="94"/>
      <x:c r="D13" s="94"/>
      <x:c r="E13" s="94"/>
      <x:c r="F13" s="94"/>
      <x:c r="G13" s="94"/>
      <x:c r="H13" s="94"/>
      <x:c r="I13" s="94"/>
      <x:c r="J13" s="94"/>
    </x:row>
    <x:row r="14">
      <x:c r="A14" s="94"/>
      <x:c r="B14" s="94"/>
      <x:c r="C14" s="94"/>
      <x:c r="D14" s="94"/>
      <x:c r="E14" s="94"/>
      <x:c r="F14" s="94"/>
      <x:c r="G14" s="94"/>
      <x:c r="H14" s="94"/>
      <x:c r="I14" s="94"/>
      <x:c r="J14" s="94"/>
    </x:row>
    <x:row r="15">
      <x:c r="A15" s="215" t="str">
        <x:v>metadata_field</x:v>
      </x:c>
      <x:c r="B15" s="215" t="str">
        <x:v>type</x:v>
      </x:c>
      <x:c r="C15" s="215" t="str">
        <x:v>v1.3 rule</x:v>
      </x:c>
      <x:c r="D15" s="215" t="str">
        <x:v>effect on curve</x:v>
      </x:c>
      <x:c r="E15" s="215" t="str">
        <x:v>required?</x:v>
      </x:c>
      <x:c r="F15" s="215" t="str">
        <x:v>notes</x:v>
      </x:c>
      <x:c r="G15" s="215" t="str">
        <x:v>source/rationale</x:v>
      </x:c>
      <x:c r="H15" s="215" t="str">
        <x:v>open_seam</x:v>
      </x:c>
      <x:c r="I15" s="94"/>
      <x:c r="J15" s="94"/>
    </x:row>
    <x:row r="16">
      <x:c r="A16" s="94" t="str">
        <x:v>module_archetype</x:v>
      </x:c>
      <x:c r="B16" s="94" t="str">
        <x:v>selector</x:v>
      </x:c>
      <x:c r="C16" s="94" t="str">
        <x:v>Choose fragile/default/hardened curve unless exact BOM test data overrides.</x:v>
      </x:c>
      <x:c r="D16" s="94" t="str">
        <x:v>Selects D50/k pair.</x:v>
      </x:c>
      <x:c r="E16" s="94" t="str">
        <x:v>yes unless exact specs</x:v>
      </x:c>
      <x:c r="F16" s="94" t="str">
        <x:v>Archetype is not a site variable; it is installed equipment class.</x:v>
      </x:c>
      <x:c r="G16" s="94" t="str">
        <x:v>DOE/PVEL construction evidence.</x:v>
      </x:c>
      <x:c r="H16" s="94" t="str">
        <x:v>BOM-specific testing preferred.</x:v>
      </x:c>
      <x:c r="I16" s="94"/>
      <x:c r="J16" s="94"/>
    </x:row>
    <x:row r="17">
      <x:c r="A17" s="94" t="str">
        <x:v>front_glass_thickness_mm</x:v>
      </x:c>
      <x:c r="B17" s="94" t="str">
        <x:v>selector</x:v>
      </x:c>
      <x:c r="C17" s="94" t="str">
        <x:v>Map to archetype: ≤2.2mm GG often fragile; ≥3.2mm glass/backsheet default; thicker/hail-rated hardened.</x:v>
      </x:c>
      <x:c r="D17" s="94" t="str">
        <x:v>Maps to curve family; not a continuous formula in v1.3.</x:v>
      </x:c>
      <x:c r="E17" s="94" t="str">
        <x:v>recommended</x:v>
      </x:c>
      <x:c r="F17" s="94" t="str">
        <x:v>Do not invent continuous glass-thickness formula without data.</x:v>
      </x:c>
      <x:c r="G17" s="94" t="str">
        <x:v>DOE 3.2mm guidance; PVEL archetype results.</x:v>
      </x:c>
      <x:c r="H17" s="94" t="str">
        <x:v>Need more data across 2.5/3.2/4.0mm.</x:v>
      </x:c>
      <x:c r="I17" s="94"/>
      <x:c r="J17" s="94"/>
    </x:row>
    <x:row r="18">
      <x:c r="A18" s="94" t="str">
        <x:v>tempered_glass</x:v>
      </x:c>
      <x:c r="B18" s="94" t="str">
        <x:v>selector</x:v>
      </x:c>
      <x:c r="C18" s="94" t="str">
        <x:v>Tempered/fully tempered supports default/hardened classification; heat-strengthened thin glass pushes fragile if GG.</x:v>
      </x:c>
      <x:c r="D18" s="94" t="str">
        <x:v>Maps to archetype.</x:v>
      </x:c>
      <x:c r="E18" s="94" t="str">
        <x:v>recommended</x:v>
      </x:c>
      <x:c r="F18" s="94" t="str">
        <x:v>Boolean alone is insufficient; pair with thickness and construction.</x:v>
      </x:c>
      <x:c r="G18" s="94" t="str">
        <x:v>DOE/PVEL selector evidence.</x:v>
      </x:c>
      <x:c r="H18" s="94" t="str">
        <x:v>Module datasheets may be incomplete.</x:v>
      </x:c>
      <x:c r="I18" s="94"/>
      <x:c r="J18" s="94"/>
    </x:row>
    <x:row r="19">
      <x:c r="A19" s="94" t="str">
        <x:v>glass_glass_vs_backsheet</x:v>
      </x:c>
      <x:c r="B19" s="94" t="str">
        <x:v>selector</x:v>
      </x:c>
      <x:c r="C19" s="94" t="str">
        <x:v>2.0mm glass//glass maps fragile; 3.2mm glass//backsheet maps default; thicker glass//glass can be hardened.</x:v>
      </x:c>
      <x:c r="D19" s="94" t="str">
        <x:v>Maps to curve family.</x:v>
      </x:c>
      <x:c r="E19" s="94" t="str">
        <x:v>recommended</x:v>
      </x:c>
      <x:c r="F19" s="94" t="str">
        <x:v>Glass//glass can protect cells while still showing rear/front glass breakage risk.</x:v>
      </x:c>
      <x:c r="G19" s="94" t="str">
        <x:v>PVEL HSS.</x:v>
      </x:c>
      <x:c r="H19" s="94" t="str">
        <x:v>Need distinguish power loss vs replacement trigger.</x:v>
      </x:c>
      <x:c r="I19" s="94"/>
      <x:c r="J19" s="94"/>
    </x:row>
    <x:row r="20">
      <x:c r="A20" s="94" t="str">
        <x:v>hail_test_rating</x:v>
      </x:c>
      <x:c r="B20" s="94" t="str">
        <x:v>selector/override</x:v>
      </x:c>
      <x:c r="C20" s="94" t="str">
        <x:v>If manufacturer provides enhanced hail test passing results, create exact override or hardened mapping.</x:v>
      </x:c>
      <x:c r="D20" s="94" t="str">
        <x:v>May replace archetype curve.</x:v>
      </x:c>
      <x:c r="E20" s="94" t="str">
        <x:v>optional high value</x:v>
      </x:c>
      <x:c r="F20" s="94" t="str">
        <x:v>This is the strongest future metadata field.</x:v>
      </x:c>
      <x:c r="G20" s="94" t="str">
        <x:v>DOE recommends requesting tests above IEC baseline.</x:v>
      </x:c>
      <x:c r="H20" s="94" t="str">
        <x:v>Need certificate/report details.</x:v>
      </x:c>
      <x:c r="I20" s="94"/>
      <x:c r="J20" s="94"/>
    </x:row>
    <x:row r="21">
      <x:c r="A21" s="94" t="str">
        <x:v>mounting_type</x:v>
      </x:c>
      <x:c r="B21" s="94" t="str">
        <x:v>conditioner selector</x:v>
      </x:c>
      <x:c r="C21" s="94" t="str">
        <x:v>Fixed tilt: no active stow. Tracker: stow applicable.</x:v>
      </x:c>
      <x:c r="D21" s="94" t="str">
        <x:v>Controls whether stow fields are required.</x:v>
      </x:c>
      <x:c r="E21" s="94" t="str">
        <x:v>yes</x:v>
      </x:c>
      <x:c r="F21" s="94" t="str">
        <x:v>Mounting is stable asset metadata; stow is event-time.</x:v>
      </x:c>
      <x:c r="G21" s="94" t="str">
        <x:v>DOE/VDE stow guidance.</x:v>
      </x:c>
      <x:c r="H21" s="94" t="str">
        <x:v>Fixed tilt angle can still influence impact angle.</x:v>
      </x:c>
      <x:c r="I21" s="94"/>
      <x:c r="J21" s="94"/>
    </x:row>
    <x:row r="22">
      <x:c r="A22" s="94" t="str">
        <x:v>stow_state</x:v>
      </x:c>
      <x:c r="B22" s="94" t="str">
        <x:v>conditioner</x:v>
      </x:c>
      <x:c r="C22" s="94" t="str">
        <x:v>If known, select unstowed or stowed curve. If unknown, use probabilistic mode.</x:v>
      </x:c>
      <x:c r="D22" s="94" t="str">
        <x:v>Transforms selected curve or blends outputs.</x:v>
      </x:c>
      <x:c r="E22" s="94" t="str">
        <x:v>conditional</x:v>
      </x:c>
      <x:c r="F22" s="94" t="str">
        <x:v>Event-time state, not equipment class.</x:v>
      </x:c>
      <x:c r="G22" s="94" t="str">
        <x:v>DOE/VDE/FTC stow guidance.</x:v>
      </x:c>
      <x:c r="H22" s="94" t="str">
        <x:v>Need SCADA/stow logs.</x:v>
      </x:c>
      <x:c r="I22" s="94"/>
      <x:c r="J22" s="94"/>
    </x:row>
    <x:row r="23">
      <x:c r="A23" s="94" t="str">
        <x:v>stow_success_probability</x:v>
      </x:c>
      <x:c r="B23" s="94" t="str">
        <x:v>conditioner uncertainty</x:v>
      </x:c>
      <x:c r="C23" s="94" t="str">
        <x:v>Used only under unknown_probabilistic stow state.</x:v>
      </x:c>
      <x:c r="D23" s="94" t="str">
        <x:v>Blends stowed/unstowed DR.</x:v>
      </x:c>
      <x:c r="E23" s="94" t="str">
        <x:v>optional</x:v>
      </x:c>
      <x:c r="F23" s="94" t="str">
        <x:v>Not hail frequency and not EAL.</x:v>
      </x:c>
      <x:c r="G23" s="94" t="str">
        <x:v>Modeling logic.</x:v>
      </x:c>
      <x:c r="H23" s="94" t="str">
        <x:v>Need ops data/forecast performance.</x:v>
      </x:c>
      <x:c r="I23" s="94"/>
      <x:c r="J23" s="94"/>
    </x:row>
    <x:row r="24">
      <x:c r="A24" s="94" t="str">
        <x:v>stow_angle_deg</x:v>
      </x:c>
      <x:c r="B24" s="94" t="str">
        <x:v>conditioner</x:v>
      </x:c>
      <x:c r="C24" s="94" t="str">
        <x:v>Stored for future continuous angle model; v1.3 uses coarse stowed state shift.</x:v>
      </x:c>
      <x:c r="D24" s="94" t="str">
        <x:v>Currently documentation/QA; not continuous formula.</x:v>
      </x:c>
      <x:c r="E24" s="94" t="str">
        <x:v>conditional</x:v>
      </x:c>
      <x:c r="F24" s="94" t="str">
        <x:v>High angle generally reduces normal impact energy but numeric relation is not calibrated.</x:v>
      </x:c>
      <x:c r="G24" s="94" t="str">
        <x:v>DOE/VDE/FTC.</x:v>
      </x:c>
      <x:c r="H24" s="94" t="str">
        <x:v>Need angle-specific test or physics model.</x:v>
      </x:c>
      <x:c r="I24" s="94"/>
      <x:c r="J24" s="94"/>
    </x:row>
    <x:row r="25">
      <x:c r="A25" s="94" t="str">
        <x:v>array_exposure_fraction</x:v>
      </x:c>
      <x:c r="B25" s="94" t="str">
        <x:v>exposure</x:v>
      </x:c>
      <x:c r="C25" s="94" t="str">
        <x:v>Multiplies value-linked loss, not module DR.</x:v>
      </x:c>
      <x:c r="D25" s="94" t="str">
        <x:v>Loss scaling only.</x:v>
      </x:c>
      <x:c r="E25" s="94" t="str">
        <x:v>optional</x:v>
      </x:c>
      <x:c r="F25" s="94" t="str">
        <x:v>A smaller swath does not make modules less fragile; it hits fewer modules.</x:v>
      </x:c>
      <x:c r="G25" s="94" t="str">
        <x:v>Spatial exposure logic.</x:v>
      </x:c>
      <x:c r="H25" s="94" t="str">
        <x:v>Need site overlay.</x:v>
      </x:c>
      <x:c r="I25" s="94"/>
      <x:c r="J25" s="94"/>
    </x:row>
    <x:row r="26">
      <x:c r="A26" s="94"/>
      <x:c r="B26" s="94"/>
      <x:c r="C26" s="94"/>
      <x:c r="D26" s="94"/>
      <x:c r="E26" s="94"/>
      <x:c r="F26" s="94"/>
      <x:c r="G26" s="94"/>
      <x:c r="H26" s="94"/>
      <x:c r="I26" s="94"/>
      <x:c r="J26" s="94"/>
    </x:row>
    <x:row r="27">
      <x:c r="A27" s="94"/>
      <x:c r="B27" s="94"/>
      <x:c r="C27" s="94"/>
      <x:c r="D27" s="94"/>
      <x:c r="E27" s="94"/>
      <x:c r="F27" s="94"/>
      <x:c r="G27" s="94"/>
      <x:c r="H27" s="94"/>
      <x:c r="I27" s="94"/>
      <x:c r="J27" s="94"/>
    </x:row>
    <x:row r="28">
      <x:c r="A28" s="94"/>
      <x:c r="B28" s="94"/>
      <x:c r="C28" s="94"/>
      <x:c r="D28" s="94"/>
      <x:c r="E28" s="94"/>
      <x:c r="F28" s="94"/>
      <x:c r="G28" s="94"/>
      <x:c r="H28" s="94"/>
      <x:c r="I28" s="94"/>
      <x:c r="J28" s="94"/>
    </x:row>
    <x:row r="29">
      <x:c r="A29" s="94"/>
      <x:c r="B29" s="94"/>
      <x:c r="C29" s="94"/>
      <x:c r="D29" s="94"/>
      <x:c r="E29" s="94"/>
      <x:c r="F29" s="94"/>
      <x:c r="G29" s="94"/>
      <x:c r="H29" s="94"/>
      <x:c r="I29" s="94"/>
      <x:c r="J29" s="94"/>
    </x:row>
    <x:row r="30">
      <x:c r="A30" s="94"/>
      <x:c r="B30" s="94"/>
      <x:c r="C30" s="94"/>
      <x:c r="D30" s="94"/>
      <x:c r="E30" s="94"/>
      <x:c r="F30" s="94"/>
      <x:c r="G30" s="94"/>
      <x:c r="H30" s="94"/>
      <x:c r="I30" s="94"/>
      <x:c r="J30" s="94"/>
    </x:row>
    <x:row r="31">
      <x:c r="A31" s="94"/>
      <x:c r="B31" s="94"/>
      <x:c r="C31" s="94"/>
      <x:c r="D31" s="94"/>
      <x:c r="E31" s="94"/>
      <x:c r="F31" s="94"/>
      <x:c r="G31" s="94"/>
      <x:c r="H31" s="94"/>
      <x:c r="I31" s="94"/>
      <x:c r="J31" s="94"/>
    </x:row>
    <x:row r="32">
      <x:c r="A32" s="94"/>
      <x:c r="B32" s="94"/>
      <x:c r="C32" s="94"/>
      <x:c r="D32" s="94"/>
      <x:c r="E32" s="94"/>
      <x:c r="F32" s="94"/>
      <x:c r="G32" s="94"/>
      <x:c r="H32" s="94"/>
      <x:c r="I32" s="94"/>
      <x:c r="J32" s="94"/>
    </x:row>
    <x:row r="33">
      <x:c r="A33" s="94"/>
      <x:c r="B33" s="94"/>
      <x:c r="C33" s="94"/>
      <x:c r="D33" s="94"/>
      <x:c r="E33" s="94"/>
      <x:c r="F33" s="94"/>
      <x:c r="G33" s="94"/>
      <x:c r="H33" s="94"/>
      <x:c r="I33" s="94"/>
      <x:c r="J33" s="94"/>
    </x:row>
    <x:row r="34">
      <x:c r="A34" s="94"/>
      <x:c r="B34" s="94"/>
      <x:c r="C34" s="94"/>
      <x:c r="D34" s="94"/>
      <x:c r="E34" s="94"/>
      <x:c r="F34" s="94"/>
      <x:c r="G34" s="94"/>
      <x:c r="H34" s="94"/>
      <x:c r="I34" s="94"/>
      <x:c r="J34" s="94"/>
    </x:row>
    <x:row r="35">
      <x:c r="A35" s="94"/>
      <x:c r="B35" s="94"/>
      <x:c r="C35" s="94"/>
      <x:c r="D35" s="94"/>
      <x:c r="E35" s="94"/>
      <x:c r="F35" s="94"/>
      <x:c r="G35" s="94"/>
      <x:c r="H35" s="94"/>
      <x:c r="I35" s="94"/>
      <x:c r="J35" s="94"/>
    </x:row>
    <x:row r="36">
      <x:c r="A36" s="94"/>
      <x:c r="B36" s="94"/>
      <x:c r="C36" s="94"/>
      <x:c r="D36" s="94"/>
      <x:c r="E36" s="94"/>
      <x:c r="F36" s="94"/>
      <x:c r="G36" s="94"/>
      <x:c r="H36" s="94"/>
      <x:c r="I36" s="94"/>
      <x:c r="J36" s="94"/>
    </x:row>
    <x:row r="37">
      <x:c r="A37" s="94"/>
      <x:c r="B37" s="94"/>
      <x:c r="C37" s="94"/>
      <x:c r="D37" s="94"/>
      <x:c r="E37" s="94"/>
      <x:c r="F37" s="94"/>
      <x:c r="G37" s="94"/>
      <x:c r="H37" s="94"/>
      <x:c r="I37" s="94"/>
      <x:c r="J37" s="94"/>
    </x:row>
    <x:row r="38">
      <x:c r="A38" s="94"/>
      <x:c r="B38" s="94"/>
      <x:c r="C38" s="94"/>
      <x:c r="D38" s="94"/>
      <x:c r="E38" s="94"/>
      <x:c r="F38" s="94"/>
      <x:c r="G38" s="94"/>
      <x:c r="H38" s="94"/>
      <x:c r="I38" s="94"/>
      <x:c r="J38" s="94"/>
    </x:row>
    <x:row r="39">
      <x:c r="A39" s="94"/>
      <x:c r="B39" s="94"/>
      <x:c r="C39" s="94"/>
      <x:c r="D39" s="94"/>
      <x:c r="E39" s="94"/>
      <x:c r="F39" s="94"/>
      <x:c r="G39" s="94"/>
      <x:c r="H39" s="94"/>
      <x:c r="I39" s="94"/>
      <x:c r="J39" s="94"/>
    </x:row>
    <x:row r="40">
      <x:c r="A40" s="94"/>
      <x:c r="B40" s="94"/>
      <x:c r="C40" s="94"/>
      <x:c r="D40" s="94"/>
      <x:c r="E40" s="94"/>
      <x:c r="F40" s="94"/>
      <x:c r="G40" s="94"/>
      <x:c r="H40" s="94"/>
      <x:c r="I40" s="94"/>
      <x:c r="J40" s="94"/>
    </x:row>
    <x:row r="41">
      <x:c r="A41" s="94"/>
      <x:c r="B41" s="94"/>
      <x:c r="C41" s="94"/>
      <x:c r="D41" s="94"/>
      <x:c r="E41" s="94"/>
      <x:c r="F41" s="94"/>
      <x:c r="G41" s="94"/>
      <x:c r="H41" s="94"/>
      <x:c r="I41" s="94"/>
      <x:c r="J41" s="94"/>
    </x:row>
    <x:row r="42">
      <x:c r="A42" s="94"/>
      <x:c r="B42" s="94"/>
      <x:c r="C42" s="94"/>
      <x:c r="D42" s="94"/>
      <x:c r="E42" s="94"/>
      <x:c r="F42" s="94"/>
      <x:c r="G42" s="94"/>
      <x:c r="H42" s="94"/>
      <x:c r="I42" s="94"/>
      <x:c r="J42" s="94"/>
    </x:row>
    <x:row r="43">
      <x:c r="A43" s="94"/>
      <x:c r="B43" s="94"/>
      <x:c r="C43" s="94"/>
      <x:c r="D43" s="94"/>
      <x:c r="E43" s="94"/>
      <x:c r="F43" s="94"/>
      <x:c r="G43" s="94"/>
      <x:c r="H43" s="94"/>
      <x:c r="I43" s="94"/>
      <x:c r="J43" s="94"/>
    </x:row>
    <x:row r="44">
      <x:c r="A44" s="94"/>
      <x:c r="B44" s="94"/>
      <x:c r="C44" s="94"/>
      <x:c r="D44" s="94"/>
      <x:c r="E44" s="94"/>
      <x:c r="F44" s="94"/>
      <x:c r="G44" s="94"/>
      <x:c r="H44" s="94"/>
      <x:c r="I44" s="94"/>
      <x:c r="J44" s="94"/>
    </x:row>
    <x:row r="45">
      <x:c r="A45" s="94"/>
      <x:c r="B45" s="94"/>
      <x:c r="C45" s="94"/>
      <x:c r="D45" s="94"/>
      <x:c r="E45" s="94"/>
      <x:c r="F45" s="94"/>
      <x:c r="G45" s="94"/>
      <x:c r="H45" s="94"/>
      <x:c r="I45" s="94"/>
      <x:c r="J45" s="94"/>
    </x:row>
    <x:row r="46">
      <x:c r="A46" s="94"/>
      <x:c r="B46" s="94"/>
      <x:c r="C46" s="94"/>
      <x:c r="D46" s="94"/>
      <x:c r="E46" s="94"/>
      <x:c r="F46" s="94"/>
      <x:c r="G46" s="94"/>
      <x:c r="H46" s="94"/>
      <x:c r="I46" s="94"/>
      <x:c r="J46" s="94"/>
    </x:row>
    <x:row r="47">
      <x:c r="A47" s="94"/>
      <x:c r="B47" s="94"/>
      <x:c r="C47" s="94"/>
      <x:c r="D47" s="94"/>
      <x:c r="E47" s="94"/>
      <x:c r="F47" s="94"/>
      <x:c r="G47" s="94"/>
      <x:c r="H47" s="94"/>
      <x:c r="I47" s="94"/>
      <x:c r="J47" s="94"/>
    </x:row>
    <x:row r="48">
      <x:c r="A48" s="94"/>
      <x:c r="B48" s="94"/>
      <x:c r="C48" s="94"/>
      <x:c r="D48" s="94"/>
      <x:c r="E48" s="94"/>
      <x:c r="F48" s="94"/>
      <x:c r="G48" s="94"/>
      <x:c r="H48" s="94"/>
      <x:c r="I48" s="94"/>
      <x:c r="J48" s="94"/>
    </x:row>
    <x:row r="49">
      <x:c r="A49" s="94"/>
      <x:c r="B49" s="94"/>
      <x:c r="C49" s="94"/>
      <x:c r="D49" s="94"/>
      <x:c r="E49" s="94"/>
      <x:c r="F49" s="94"/>
      <x:c r="G49" s="94"/>
      <x:c r="H49" s="94"/>
      <x:c r="I49" s="94"/>
      <x:c r="J49" s="94"/>
    </x:row>
    <x:row r="50">
      <x:c r="A50" s="94"/>
      <x:c r="B50" s="94"/>
      <x:c r="C50" s="94"/>
      <x:c r="D50" s="94"/>
      <x:c r="E50" s="94"/>
      <x:c r="F50" s="94"/>
      <x:c r="G50" s="94"/>
      <x:c r="H50" s="94"/>
      <x:c r="I50" s="94"/>
      <x:c r="J50" s="94"/>
    </x:row>
    <x:row r="51">
      <x:c r="A51" s="94"/>
      <x:c r="B51" s="94"/>
      <x:c r="C51" s="94"/>
      <x:c r="D51" s="94"/>
      <x:c r="E51" s="94"/>
      <x:c r="F51" s="94"/>
      <x:c r="G51" s="94"/>
      <x:c r="H51" s="94"/>
      <x:c r="I51" s="94"/>
      <x:c r="J51" s="94"/>
    </x:row>
    <x:row r="52">
      <x:c r="A52" s="94"/>
      <x:c r="B52" s="94"/>
      <x:c r="C52" s="94"/>
      <x:c r="D52" s="94"/>
      <x:c r="E52" s="94"/>
      <x:c r="F52" s="94"/>
      <x:c r="G52" s="94"/>
      <x:c r="H52" s="94"/>
      <x:c r="I52" s="94"/>
      <x:c r="J52" s="94"/>
    </x:row>
    <x:row r="53">
      <x:c r="A53" s="94"/>
      <x:c r="B53" s="94"/>
      <x:c r="C53" s="94"/>
      <x:c r="D53" s="94"/>
      <x:c r="E53" s="94"/>
      <x:c r="F53" s="94"/>
      <x:c r="G53" s="94"/>
      <x:c r="H53" s="94"/>
      <x:c r="I53" s="94"/>
      <x:c r="J53" s="94"/>
    </x:row>
    <x:row r="54">
      <x:c r="A54" s="94"/>
      <x:c r="B54" s="94"/>
      <x:c r="C54" s="94"/>
      <x:c r="D54" s="94"/>
      <x:c r="E54" s="94"/>
      <x:c r="F54" s="94"/>
      <x:c r="G54" s="94"/>
      <x:c r="H54" s="94"/>
      <x:c r="I54" s="94"/>
      <x:c r="J54" s="94"/>
    </x:row>
    <x:row r="55">
      <x:c r="A55" s="94"/>
      <x:c r="B55" s="94"/>
      <x:c r="C55" s="94"/>
      <x:c r="D55" s="94"/>
      <x:c r="E55" s="94"/>
      <x:c r="F55" s="94"/>
      <x:c r="G55" s="94"/>
      <x:c r="H55" s="94"/>
      <x:c r="I55" s="94"/>
      <x:c r="J55" s="94"/>
    </x:row>
    <x:row r="56">
      <x:c r="A56" s="94"/>
      <x:c r="B56" s="94"/>
      <x:c r="C56" s="94"/>
      <x:c r="D56" s="94"/>
      <x:c r="E56" s="94"/>
      <x:c r="F56" s="94"/>
      <x:c r="G56" s="94"/>
      <x:c r="H56" s="94"/>
      <x:c r="I56" s="94"/>
      <x:c r="J56" s="94"/>
    </x:row>
    <x:row r="57">
      <x:c r="A57" s="94"/>
      <x:c r="B57" s="94"/>
      <x:c r="C57" s="94"/>
      <x:c r="D57" s="94"/>
      <x:c r="E57" s="94"/>
      <x:c r="F57" s="94"/>
      <x:c r="G57" s="94"/>
      <x:c r="H57" s="94"/>
      <x:c r="I57" s="94"/>
      <x:c r="J57" s="94"/>
    </x:row>
    <x:row r="58">
      <x:c r="A58" s="94"/>
      <x:c r="B58" s="94"/>
      <x:c r="C58" s="94"/>
      <x:c r="D58" s="94"/>
      <x:c r="E58" s="94"/>
      <x:c r="F58" s="94"/>
      <x:c r="G58" s="94"/>
      <x:c r="H58" s="94"/>
      <x:c r="I58" s="94"/>
      <x:c r="J58" s="94"/>
    </x:row>
    <x:row r="59">
      <x:c r="A59" s="94"/>
      <x:c r="B59" s="94"/>
      <x:c r="C59" s="94"/>
      <x:c r="D59" s="94"/>
      <x:c r="E59" s="94"/>
      <x:c r="F59" s="94"/>
      <x:c r="G59" s="94"/>
      <x:c r="H59" s="94"/>
      <x:c r="I59" s="94"/>
      <x:c r="J59" s="94"/>
    </x:row>
    <x:row r="60">
      <x:c r="A60" s="94"/>
      <x:c r="B60" s="94"/>
      <x:c r="C60" s="94"/>
      <x:c r="D60" s="94"/>
      <x:c r="E60" s="94"/>
      <x:c r="F60" s="94"/>
      <x:c r="G60" s="94"/>
      <x:c r="H60" s="94"/>
      <x:c r="I60" s="94"/>
      <x:c r="J60" s="94"/>
    </x:row>
  </x:sheetData>
  <x:mergeCells>
    <x:mergeCell ref="A1:H1"/>
    <x:mergeCell ref="A2:H2"/>
  </x:mergeCells>
  <x:pageMargins left="0.7" right="0.7" top="0.75" bottom="0.75" header="0.3" footer="0.3"/>
  <x:tableParts count="2">
    <x:tablePart xmlns:r="http://schemas.openxmlformats.org/officeDocument/2006/relationships" r:id="R692e3695fbac4517"/>
    <x:tablePart xmlns:r="http://schemas.openxmlformats.org/officeDocument/2006/relationships" r:id="Rb4911edf912a4b08"/>
  </x:tableParts>
</x:worksheet>
</file>

<file path=xl/worksheets/sheet42.xml><?xml version="1.0" encoding="utf-8"?>
<x:worksheet xmlns:x="http://schemas.openxmlformats.org/spreadsheetml/2006/main">
  <x:sheetFormatPr defaultRowHeight="15"/>
  <x:cols>
    <x:col min="1" max="1" width="24" hidden="0" customWidth="1"/>
    <x:col min="2" max="2" width="28" hidden="0" customWidth="1"/>
    <x:col min="3" max="3" width="18" hidden="0" customWidth="1"/>
    <x:col min="4" max="4" width="14" hidden="0" customWidth="1"/>
    <x:col min="5" max="5" width="16" hidden="0" customWidth="1"/>
    <x:col min="6" max="6" width="16" hidden="0" customWidth="1"/>
    <x:col min="7" max="7" width="32" hidden="0" customWidth="1"/>
    <x:col min="8" max="8" width="38" hidden="0" customWidth="1"/>
    <x:col min="9" max="9" width="24" hidden="0" customWidth="1"/>
    <x:col min="10" max="10" width="48" hidden="0" customWidth="1"/>
  </x:cols>
  <x:sheetData>
    <x:row r="1" ht="28" customHeight="1">
      <x:c r="A1" s="214" t="str">
        <x:v>Hail × Solar v1.3 — Curve Variant Catalog</x:v>
      </x:c>
      <x:c r="B1" s="94"/>
      <x:c r="C1" s="94"/>
      <x:c r="D1" s="94"/>
      <x:c r="E1" s="94"/>
      <x:c r="F1" s="94"/>
      <x:c r="G1" s="94"/>
      <x:c r="H1" s="94"/>
      <x:c r="I1" s="94"/>
      <x:c r="J1" s="94"/>
    </x:row>
    <x:row r="2" ht="42" customHeight="1">
      <x:c r="A2" s="198" t="str">
        <x:v>This catalog separates base module archetype curves from transformed event-time stow variants and probability-weighted mixtures.</x:v>
      </x:c>
      <x:c r="B2" s="94"/>
      <x:c r="C2" s="94"/>
      <x:c r="D2" s="94"/>
      <x:c r="E2" s="94"/>
      <x:c r="F2" s="94"/>
      <x:c r="G2" s="94"/>
      <x:c r="H2" s="94"/>
      <x:c r="I2" s="94"/>
      <x:c r="J2" s="94"/>
    </x:row>
    <x:row r="3">
      <x:c r="A3" s="94"/>
      <x:c r="B3" s="94"/>
      <x:c r="C3" s="94"/>
      <x:c r="D3" s="94"/>
      <x:c r="E3" s="94"/>
      <x:c r="F3" s="94"/>
      <x:c r="G3" s="94"/>
      <x:c r="H3" s="94"/>
      <x:c r="I3" s="94"/>
      <x:c r="J3" s="94"/>
    </x:row>
    <x:row r="4">
      <x:c r="A4" s="215" t="str">
        <x:v>variant_id</x:v>
      </x:c>
      <x:c r="B4" s="215" t="str">
        <x:v>variant_type</x:v>
      </x:c>
      <x:c r="C4" s="215" t="str">
        <x:v>curve_native_axis</x:v>
      </x:c>
      <x:c r="D4" s="215" t="str">
        <x:v>D50_mm</x:v>
      </x:c>
      <x:c r="E4" s="215" t="str">
        <x:v>k_1_per_mm</x:v>
      </x:c>
      <x:c r="F4" s="215" t="str">
        <x:v>max_DR</x:v>
      </x:c>
      <x:c r="G4" s="215" t="str">
        <x:v>derivation_method</x:v>
      </x:c>
      <x:c r="H4" s="215" t="str">
        <x:v>when_to_use</x:v>
      </x:c>
      <x:c r="I4" s="215" t="str">
        <x:v>confidence</x:v>
      </x:c>
      <x:c r="J4" s="215" t="str">
        <x:v>caveat</x:v>
      </x:c>
    </x:row>
    <x:row r="5">
      <x:c r="A5" s="94" t="str">
        <x:v>HAIL_SOLAR_FRAGILE_THIN_GG</x:v>
      </x:c>
      <x:c r="B5" s="94" t="str">
        <x:v>base archetype curve</x:v>
      </x:c>
      <x:c r="C5" s="94" t="str">
        <x:v>MESH diameter mm</x:v>
      </x:c>
      <x:c r="D5" s="217" t="n">
        <x:v>41.07384158689197</x:v>
      </x:c>
      <x:c r="E5" s="217" t="n">
        <x:v>0.2206330604244443</x:v>
      </x:c>
      <x:c r="F5" s="217" t="n">
        <x:v>1</x:v>
      </x:c>
      <x:c r="G5" s="94" t="str">
        <x:v>Logit-space least-squares on PVEL thin glass//glass public anchors.</x:v>
      </x:c>
      <x:c r="H5" s="94" t="str">
        <x:v>Known or likely thin 2.0mm glass//glass modules; fragile sensitivity.</x:v>
      </x:c>
      <x:c r="I5" s="94" t="str">
        <x:v>medium</x:v>
      </x:c>
      <x:c r="J5" s="94" t="str">
        <x:v>Not BOM-specific; aggregate lab testing.</x:v>
      </x:c>
    </x:row>
    <x:row r="6">
      <x:c r="A6" s="94" t="str">
        <x:v>HAIL_SOLAR_DEFAULT_3P2_GBS</x:v>
      </x:c>
      <x:c r="B6" s="94" t="str">
        <x:v>base archetype curve</x:v>
      </x:c>
      <x:c r="C6" s="94" t="str">
        <x:v>MESH diameter mm</x:v>
      </x:c>
      <x:c r="D6" s="217" t="n">
        <x:v>52.69607620290103</x:v>
      </x:c>
      <x:c r="E6" s="217" t="n">
        <x:v>0.1659123052836369</x:v>
      </x:c>
      <x:c r="F6" s="217" t="n">
        <x:v>1</x:v>
      </x:c>
      <x:c r="G6" s="94" t="str">
        <x:v>Two-anchor logistic: IEC 25mm near-zero + PVEL 50mm 3.2mm glass//backsheet breakage.</x:v>
      </x:c>
      <x:c r="H6" s="94" t="str">
        <x:v>Default when modern 3.2mm glass//backsheet or unknown utility-scale default.</x:v>
      </x:c>
      <x:c r="I6" s="94" t="str">
        <x:v>medium</x:v>
      </x:c>
      <x:c r="J6" s="94" t="str">
        <x:v>Sparse public anchors; field claims not calibrated.</x:v>
      </x:c>
    </x:row>
    <x:row r="7">
      <x:c r="A7" s="94" t="str">
        <x:v>HAIL_SOLAR_HARDENED_THICKER</x:v>
      </x:c>
      <x:c r="B7" s="94" t="str">
        <x:v>base archetype curve</x:v>
      </x:c>
      <x:c r="C7" s="94" t="str">
        <x:v>MESH diameter mm</x:v>
      </x:c>
      <x:c r="D7" s="217" t="n">
        <x:v>64.1138295233511</x:v>
      </x:c>
      <x:c r="E7" s="217" t="n">
        <x:v>0.1353307740313274</x:v>
      </x:c>
      <x:c r="F7" s="217" t="n">
        <x:v>1</x:v>
      </x:c>
      <x:c r="G7" s="94" t="str">
        <x:v>Two-anchor logistic: IEC near-zero + PVEL thicker/hail-hardened low breakage anchor.</x:v>
      </x:c>
      <x:c r="H7" s="94" t="str">
        <x:v>Known hail-hardened/thicker-glass modules or enhanced hail rating.</x:v>
      </x:c>
      <x:c r="I7" s="94" t="str">
        <x:v>low/medium</x:v>
      </x:c>
      <x:c r="J7" s="94" t="str">
        <x:v>Tail extrapolated; sample size caveat.</x:v>
      </x:c>
    </x:row>
    <x:row r="8">
      <x:c r="A8" s="94" t="str">
        <x:v>HAIL_SOLAR_SELECTED_UNSTOWED</x:v>
      </x:c>
      <x:c r="B8" s="94" t="str">
        <x:v>selected curve state</x:v>
      </x:c>
      <x:c r="C8" s="94" t="str">
        <x:v>MESH diameter mm</x:v>
      </x:c>
      <x:c r="D8" s="94" t="str">
        <x:v>selected archetype</x:v>
      </x:c>
      <x:c r="E8" s="94" t="str">
        <x:v>selected archetype</x:v>
      </x:c>
      <x:c r="F8" s="94" t="n">
        <x:v>1</x:v>
      </x:c>
      <x:c r="G8" s="94" t="str">
        <x:v>Direct use of selected base archetype curve.</x:v>
      </x:c>
      <x:c r="H8" s="94" t="str">
        <x:v>Confirmed unstowed / fixed tilt no stow.</x:v>
      </x:c>
      <x:c r="I8" s="94" t="str">
        <x:v>same as selected</x:v>
      </x:c>
      <x:c r="J8" s="94" t="str">
        <x:v>No stow benefit applied.</x:v>
      </x:c>
    </x:row>
    <x:row r="9">
      <x:c r="A9" s="94" t="str">
        <x:v>HAIL_SOLAR_SELECTED_STOWED</x:v>
      </x:c>
      <x:c r="B9" s="94" t="str">
        <x:v>transformed conditioner curve</x:v>
      </x:c>
      <x:c r="C9" s="94" t="str">
        <x:v>MESH diameter mm</x:v>
      </x:c>
      <x:c r="D9" s="94" t="str">
        <x:v>selected D50 + 8</x:v>
      </x:c>
      <x:c r="E9" s="94" t="str">
        <x:v>selected k</x:v>
      </x:c>
      <x:c r="F9" s="94" t="n">
        <x:v>0.9</x:v>
      </x:c>
      <x:c r="G9" s="94" t="str">
        <x:v>Placeholder transformed curve from selected archetype.</x:v>
      </x:c>
      <x:c r="H9" s="94" t="str">
        <x:v>Confirmed hail stow or defensive high-tilt state.</x:v>
      </x:c>
      <x:c r="I9" s="94" t="str">
        <x:v>low numeric / medium logic</x:v>
      </x:c>
      <x:c r="J9" s="94" t="str">
        <x:v>D50 shift and max multiplier are placeholders until stow-specific data.</x:v>
      </x:c>
    </x:row>
    <x:row r="10">
      <x:c r="A10" s="94" t="str">
        <x:v>HAIL_SOLAR_PROB_STOW</x:v>
      </x:c>
      <x:c r="B10" s="94" t="str">
        <x:v>mixture output</x:v>
      </x:c>
      <x:c r="C10" s="94" t="str">
        <x:v>MESH diameter mm</x:v>
      </x:c>
      <x:c r="D10" s="94" t="str">
        <x:v>n/a</x:v>
      </x:c>
      <x:c r="E10" s="94" t="str">
        <x:v>n/a</x:v>
      </x:c>
      <x:c r="F10" s="94" t="str">
        <x:v>n/a</x:v>
      </x:c>
      <x:c r="G10" s="94" t="str">
        <x:v>DR=P(stowed)×DR_stowed+(1-P)×DR_unstowed.</x:v>
      </x:c>
      <x:c r="H10" s="94" t="str">
        <x:v>Unknown stow state where expected DR is needed.</x:v>
      </x:c>
      <x:c r="I10" s="94" t="str">
        <x:v>logic medium / input-dependent</x:v>
      </x:c>
      <x:c r="J10" s="94" t="str">
        <x:v>Probability is not hail frequency; it is event-time state uncertainty.</x:v>
      </x:c>
    </x:row>
    <x:row r="11">
      <x:c r="A11" s="94"/>
      <x:c r="B11" s="94"/>
      <x:c r="C11" s="94"/>
      <x:c r="D11" s="94"/>
      <x:c r="E11" s="94"/>
      <x:c r="F11" s="94"/>
      <x:c r="G11" s="94"/>
      <x:c r="H11" s="94"/>
      <x:c r="I11" s="94"/>
      <x:c r="J11" s="94"/>
    </x:row>
    <x:row r="12">
      <x:c r="A12" s="94"/>
      <x:c r="B12" s="94"/>
      <x:c r="C12" s="94"/>
      <x:c r="D12" s="94"/>
      <x:c r="E12" s="94"/>
      <x:c r="F12" s="94"/>
      <x:c r="G12" s="94"/>
      <x:c r="H12" s="94"/>
      <x:c r="I12" s="94"/>
      <x:c r="J12" s="94"/>
    </x:row>
    <x:row r="13">
      <x:c r="A13" s="215" t="str">
        <x:v>D_mm</x:v>
      </x:c>
      <x:c r="B13" s="215" t="str">
        <x:v>fragile_DR</x:v>
      </x:c>
      <x:c r="C13" s="215" t="str">
        <x:v>default_DR</x:v>
      </x:c>
      <x:c r="D13" s="215" t="str">
        <x:v>hardened_DR</x:v>
      </x:c>
      <x:c r="E13" s="215" t="str">
        <x:v>default_stowed_DR</x:v>
      </x:c>
      <x:c r="F13" s="215" t="str">
        <x:v>default_prob_stow_60pct</x:v>
      </x:c>
      <x:c r="G13" s="215" t="str">
        <x:v>notes</x:v>
      </x:c>
      <x:c r="H13" s="94"/>
      <x:c r="I13" s="94"/>
      <x:c r="J13" s="94"/>
    </x:row>
    <x:row r="14">
      <x:c r="A14" s="218" t="n">
        <x:v>25</x:v>
      </x:c>
      <x:c r="B14" s="219" t="n">
        <x:v>0.028019886297720568</x:v>
      </x:c>
      <x:c r="C14" s="219" t="n">
        <x:v>0.010000000000000028</x:v>
      </x:c>
      <x:c r="D14" s="219" t="n">
        <x:v>0.005000000000000014</x:v>
      </x:c>
      <x:c r="E14" s="219" t="n">
        <x:v>0.0024044022737841767</x:v>
      </x:c>
      <x:c r="F14" s="219" t="n">
        <x:v>0.005442641364270517</x:v>
      </x:c>
      <x:c r="G14" s="94" t="str">
        <x:v>Probability blend uses P(stowed)=0.60 and default archetype.</x:v>
      </x:c>
      <x:c r="H14" s="94"/>
      <x:c r="I14" s="94"/>
      <x:c r="J14" s="94"/>
    </x:row>
    <x:row r="15">
      <x:c r="A15" s="218" t="n">
        <x:v>35</x:v>
      </x:c>
      <x:c r="B15" s="219" t="n">
        <x:v>0.20749521608119276</x:v>
      </x:c>
      <x:c r="C15" s="219" t="n">
        <x:v>0.05040253045391812</x:v>
      </x:c>
      <x:c r="D15" s="219" t="n">
        <x:v>0.01907725187549938</x:v>
      </x:c>
      <x:c r="E15" s="219" t="n">
        <x:v>0.012492417070752396</x:v>
      </x:c>
      <x:c r="F15" s="219" t="n">
        <x:v>0.027656462424018688</x:v>
      </x:c>
      <x:c r="G15" s="94" t="str">
        <x:v>Probability blend uses P(stowed)=0.60 and default archetype.</x:v>
      </x:c>
      <x:c r="H15" s="94"/>
      <x:c r="I15" s="94"/>
      <x:c r="J15" s="94"/>
    </x:row>
    <x:row r="16">
      <x:c r="A16" s="218" t="n">
        <x:v>45</x:v>
      </x:c>
      <x:c r="B16" s="219" t="n">
        <x:v>0.7039627905481787</x:v>
      </x:c>
      <x:c r="C16" s="219" t="n">
        <x:v>0.21808285131604127</x:v>
      </x:c>
      <x:c r="D16" s="219" t="n">
        <x:v>0.07000000000000005</x:v>
      </x:c>
      <x:c r="E16" s="219" t="n">
        <x:v>0.06198334894361754</x:v>
      </x:c>
      <x:c r="F16" s="219" t="n">
        <x:v>0.12442314989258703</x:v>
      </x:c>
      <x:c r="G16" s="94" t="str">
        <x:v>Probability blend uses P(stowed)=0.60 and default archetype.</x:v>
      </x:c>
      <x:c r="H16" s="94"/>
      <x:c r="I16" s="94"/>
      <x:c r="J16" s="94"/>
    </x:row>
    <x:row r="17">
      <x:c r="A17" s="218" t="n">
        <x:v>50</x:v>
      </x:c>
      <x:c r="B17" s="219" t="n">
        <x:v>0.8775472596460155</x:v>
      </x:c>
      <x:c r="C17" s="219" t="n">
        <x:v>0.39</x:v>
      </x:c>
      <x:c r="D17" s="219" t="n">
        <x:v>0.12897686688613344</x:v>
      </x:c>
      <x:c r="E17" s="219" t="n">
        <x:v>0.13047289639190182</x:v>
      </x:c>
      <x:c r="F17" s="219" t="n">
        <x:v>0.23428373783514111</x:v>
      </x:c>
      <x:c r="G17" s="94" t="str">
        <x:v>Probability blend uses P(stowed)=0.60 and default archetype.</x:v>
      </x:c>
      <x:c r="H17" s="94"/>
      <x:c r="I17" s="94"/>
      <x:c r="J17" s="94"/>
    </x:row>
    <x:row r="18">
      <x:c r="A18" s="218" t="n">
        <x:v>55</x:v>
      </x:c>
      <x:c r="B18" s="219" t="n">
        <x:v>0.9557470373347705</x:v>
      </x:c>
      <x:c r="C18" s="219" t="n">
        <x:v>0.5944154940093985</x:v>
      </x:c>
      <x:c r="D18" s="219" t="n">
        <x:v>0.22559011406408977</x:v>
      </x:c>
      <x:c r="E18" s="219" t="n">
        <x:v>0.2518934132342453</x:v>
      </x:c>
      <x:c r="F18" s="219" t="n">
        <x:v>0.3889022455443066</x:v>
      </x:c>
      <x:c r="G18" s="94" t="str">
        <x:v>Probability blend uses P(stowed)=0.60 and default archetype.</x:v>
      </x:c>
      <x:c r="H18" s="94"/>
      <x:c r="I18" s="94"/>
      <x:c r="J18" s="94"/>
    </x:row>
    <x:row r="19">
      <x:c r="A19" s="218" t="n">
        <x:v>65</x:v>
      </x:c>
      <x:c r="B19" s="219" t="n">
        <x:v>0.994927830438752</x:v>
      </x:c>
      <x:c r="C19" s="219" t="n">
        <x:v>0.8850729367231496</x:v>
      </x:c>
      <x:c r="D19" s="219" t="n">
        <x:v>0.5299456521739128</x:v>
      </x:c>
      <x:c r="E19" s="219" t="n">
        <x:v>0.6041706491264874</x:v>
      </x:c>
      <x:c r="F19" s="219" t="n">
        <x:v>0.7165315641651524</x:v>
      </x:c>
      <x:c r="G19" s="94" t="str">
        <x:v>Probability blend uses P(stowed)=0.60 and default archetype.</x:v>
      </x:c>
      <x:c r="H19" s="94"/>
      <x:c r="I19" s="94"/>
      <x:c r="J19" s="94"/>
    </x:row>
    <x:row r="20">
      <x:c r="A20" s="218" t="n">
        <x:v>76</x:v>
      </x:c>
      <x:c r="B20" s="219" t="n">
        <x:v>0.9995500235443193</x:v>
      </x:c>
      <x:c r="C20" s="219" t="n">
        <x:v>0.9794957902205231</x:v>
      </x:c>
      <x:c r="D20" s="219" t="n">
        <x:v>0.8332120116979678</x:v>
      </x:c>
      <x:c r="E20" s="219" t="n">
        <x:v>0.8341546055044957</x:v>
      </x:c>
      <x:c r="F20" s="219" t="n">
        <x:v>0.8922910793909067</x:v>
      </x:c>
      <x:c r="G20" s="94" t="str">
        <x:v>Probability blend uses P(stowed)=0.60 and default archetype.</x:v>
      </x:c>
      <x:c r="H20" s="94"/>
      <x:c r="I20" s="94"/>
      <x:c r="J20" s="94"/>
    </x:row>
    <x:row r="21">
      <x:c r="A21" s="218"/>
      <x:c r="B21" s="219"/>
      <x:c r="C21" s="219"/>
      <x:c r="D21" s="219"/>
      <x:c r="E21" s="219"/>
      <x:c r="F21" s="219"/>
      <x:c r="G21" s="94"/>
      <x:c r="H21" s="94"/>
      <x:c r="I21" s="94"/>
      <x:c r="J21" s="94"/>
    </x:row>
    <x:row r="22">
      <x:c r="A22" s="94"/>
      <x:c r="B22" s="94"/>
      <x:c r="C22" s="94"/>
      <x:c r="D22" s="94"/>
      <x:c r="E22" s="94"/>
      <x:c r="F22" s="94"/>
      <x:c r="G22" s="94"/>
      <x:c r="H22" s="94"/>
      <x:c r="I22" s="94"/>
      <x:c r="J22" s="94"/>
    </x:row>
    <x:row r="23">
      <x:c r="A23" s="94"/>
      <x:c r="B23" s="94"/>
      <x:c r="C23" s="94"/>
      <x:c r="D23" s="94"/>
      <x:c r="E23" s="94"/>
      <x:c r="F23" s="94"/>
      <x:c r="G23" s="94"/>
      <x:c r="H23" s="94"/>
      <x:c r="I23" s="94"/>
      <x:c r="J23" s="94"/>
    </x:row>
    <x:row r="24">
      <x:c r="A24" s="94"/>
      <x:c r="B24" s="94"/>
      <x:c r="C24" s="94"/>
      <x:c r="D24" s="94"/>
      <x:c r="E24" s="94"/>
      <x:c r="F24" s="94"/>
      <x:c r="G24" s="94"/>
      <x:c r="H24" s="94"/>
      <x:c r="I24" s="94"/>
      <x:c r="J24" s="94"/>
    </x:row>
    <x:row r="25">
      <x:c r="A25" s="94"/>
      <x:c r="B25" s="94"/>
      <x:c r="C25" s="94"/>
      <x:c r="D25" s="94"/>
      <x:c r="E25" s="94"/>
      <x:c r="F25" s="94"/>
      <x:c r="G25" s="94"/>
      <x:c r="H25" s="94"/>
      <x:c r="I25" s="94"/>
      <x:c r="J25" s="94"/>
    </x:row>
    <x:row r="26">
      <x:c r="A26" s="94"/>
      <x:c r="B26" s="94"/>
      <x:c r="C26" s="94"/>
      <x:c r="D26" s="94"/>
      <x:c r="E26" s="94"/>
      <x:c r="F26" s="94"/>
      <x:c r="G26" s="94"/>
      <x:c r="H26" s="94"/>
      <x:c r="I26" s="94"/>
      <x:c r="J26" s="94"/>
    </x:row>
    <x:row r="27">
      <x:c r="A27" s="94"/>
      <x:c r="B27" s="94"/>
      <x:c r="C27" s="94"/>
      <x:c r="D27" s="94"/>
      <x:c r="E27" s="94"/>
      <x:c r="F27" s="94"/>
      <x:c r="G27" s="94"/>
      <x:c r="H27" s="94"/>
      <x:c r="I27" s="94"/>
      <x:c r="J27" s="94"/>
    </x:row>
    <x:row r="28">
      <x:c r="A28" s="94"/>
      <x:c r="B28" s="94"/>
      <x:c r="C28" s="94"/>
      <x:c r="D28" s="94"/>
      <x:c r="E28" s="94"/>
      <x:c r="F28" s="94"/>
      <x:c r="G28" s="94"/>
      <x:c r="H28" s="94"/>
      <x:c r="I28" s="94"/>
      <x:c r="J28" s="94"/>
    </x:row>
    <x:row r="29">
      <x:c r="A29" s="94"/>
      <x:c r="B29" s="94"/>
      <x:c r="C29" s="94"/>
      <x:c r="D29" s="94"/>
      <x:c r="E29" s="94"/>
      <x:c r="F29" s="94"/>
      <x:c r="G29" s="94"/>
      <x:c r="H29" s="94"/>
      <x:c r="I29" s="94"/>
      <x:c r="J29" s="94"/>
    </x:row>
    <x:row r="30">
      <x:c r="A30" s="94"/>
      <x:c r="B30" s="94"/>
      <x:c r="C30" s="94"/>
      <x:c r="D30" s="94"/>
      <x:c r="E30" s="94"/>
      <x:c r="F30" s="94"/>
      <x:c r="G30" s="94"/>
      <x:c r="H30" s="94"/>
      <x:c r="I30" s="94"/>
      <x:c r="J30" s="94"/>
    </x:row>
    <x:row r="31">
      <x:c r="A31" s="94"/>
      <x:c r="B31" s="94"/>
      <x:c r="C31" s="94"/>
      <x:c r="D31" s="94"/>
      <x:c r="E31" s="94"/>
      <x:c r="F31" s="94"/>
      <x:c r="G31" s="94"/>
      <x:c r="H31" s="94"/>
      <x:c r="I31" s="94"/>
      <x:c r="J31" s="94"/>
    </x:row>
    <x:row r="32">
      <x:c r="A32" s="94"/>
      <x:c r="B32" s="94"/>
      <x:c r="C32" s="94"/>
      <x:c r="D32" s="94"/>
      <x:c r="E32" s="94"/>
      <x:c r="F32" s="94"/>
      <x:c r="G32" s="94"/>
      <x:c r="H32" s="94"/>
      <x:c r="I32" s="94"/>
      <x:c r="J32" s="94"/>
    </x:row>
    <x:row r="33">
      <x:c r="A33" s="94"/>
      <x:c r="B33" s="94"/>
      <x:c r="C33" s="94"/>
      <x:c r="D33" s="94"/>
      <x:c r="E33" s="94"/>
      <x:c r="F33" s="94"/>
      <x:c r="G33" s="94"/>
      <x:c r="H33" s="94"/>
      <x:c r="I33" s="94"/>
      <x:c r="J33" s="94"/>
    </x:row>
    <x:row r="34">
      <x:c r="A34" s="94"/>
      <x:c r="B34" s="94"/>
      <x:c r="C34" s="94"/>
      <x:c r="D34" s="94"/>
      <x:c r="E34" s="94"/>
      <x:c r="F34" s="94"/>
      <x:c r="G34" s="94"/>
      <x:c r="H34" s="94"/>
      <x:c r="I34" s="94"/>
      <x:c r="J34" s="94"/>
    </x:row>
    <x:row r="35">
      <x:c r="A35" s="94"/>
      <x:c r="B35" s="94"/>
      <x:c r="C35" s="94"/>
      <x:c r="D35" s="94"/>
      <x:c r="E35" s="94"/>
      <x:c r="F35" s="94"/>
      <x:c r="G35" s="94"/>
      <x:c r="H35" s="94"/>
      <x:c r="I35" s="94"/>
      <x:c r="J35" s="94"/>
    </x:row>
    <x:row r="36">
      <x:c r="A36" s="94"/>
      <x:c r="B36" s="94"/>
      <x:c r="C36" s="94"/>
      <x:c r="D36" s="94"/>
      <x:c r="E36" s="94"/>
      <x:c r="F36" s="94"/>
      <x:c r="G36" s="94"/>
      <x:c r="H36" s="94"/>
      <x:c r="I36" s="94"/>
      <x:c r="J36" s="94"/>
    </x:row>
    <x:row r="37">
      <x:c r="A37" s="94"/>
      <x:c r="B37" s="94"/>
      <x:c r="C37" s="94"/>
      <x:c r="D37" s="94"/>
      <x:c r="E37" s="94"/>
      <x:c r="F37" s="94"/>
      <x:c r="G37" s="94"/>
      <x:c r="H37" s="94"/>
      <x:c r="I37" s="94"/>
      <x:c r="J37" s="94"/>
    </x:row>
    <x:row r="38">
      <x:c r="A38" s="94"/>
      <x:c r="B38" s="94"/>
      <x:c r="C38" s="94"/>
      <x:c r="D38" s="94"/>
      <x:c r="E38" s="94"/>
      <x:c r="F38" s="94"/>
      <x:c r="G38" s="94"/>
      <x:c r="H38" s="94"/>
      <x:c r="I38" s="94"/>
      <x:c r="J38" s="94"/>
    </x:row>
    <x:row r="39">
      <x:c r="A39" s="94"/>
      <x:c r="B39" s="94"/>
      <x:c r="C39" s="94"/>
      <x:c r="D39" s="94"/>
      <x:c r="E39" s="94"/>
      <x:c r="F39" s="94"/>
      <x:c r="G39" s="94"/>
      <x:c r="H39" s="94"/>
      <x:c r="I39" s="94"/>
      <x:c r="J39" s="94"/>
    </x:row>
    <x:row r="40">
      <x:c r="A40" s="94"/>
      <x:c r="B40" s="94"/>
      <x:c r="C40" s="94"/>
      <x:c r="D40" s="94"/>
      <x:c r="E40" s="94"/>
      <x:c r="F40" s="94"/>
      <x:c r="G40" s="94"/>
      <x:c r="H40" s="94"/>
      <x:c r="I40" s="94"/>
      <x:c r="J40" s="94"/>
    </x:row>
    <x:row r="41">
      <x:c r="A41" s="94"/>
      <x:c r="B41" s="94"/>
      <x:c r="C41" s="94"/>
      <x:c r="D41" s="94"/>
      <x:c r="E41" s="94"/>
      <x:c r="F41" s="94"/>
      <x:c r="G41" s="94"/>
      <x:c r="H41" s="94"/>
      <x:c r="I41" s="94"/>
      <x:c r="J41" s="94"/>
    </x:row>
    <x:row r="42">
      <x:c r="A42" s="94"/>
      <x:c r="B42" s="94"/>
      <x:c r="C42" s="94"/>
      <x:c r="D42" s="94"/>
      <x:c r="E42" s="94"/>
      <x:c r="F42" s="94"/>
      <x:c r="G42" s="94"/>
      <x:c r="H42" s="94"/>
      <x:c r="I42" s="94"/>
      <x:c r="J42" s="94"/>
    </x:row>
    <x:row r="43">
      <x:c r="A43" s="94"/>
      <x:c r="B43" s="94"/>
      <x:c r="C43" s="94"/>
      <x:c r="D43" s="94"/>
      <x:c r="E43" s="94"/>
      <x:c r="F43" s="94"/>
      <x:c r="G43" s="94"/>
      <x:c r="H43" s="94"/>
      <x:c r="I43" s="94"/>
      <x:c r="J43" s="94"/>
    </x:row>
    <x:row r="44">
      <x:c r="A44" s="94"/>
      <x:c r="B44" s="94"/>
      <x:c r="C44" s="94"/>
      <x:c r="D44" s="94"/>
      <x:c r="E44" s="94"/>
      <x:c r="F44" s="94"/>
      <x:c r="G44" s="94"/>
      <x:c r="H44" s="94"/>
      <x:c r="I44" s="94"/>
      <x:c r="J44" s="94"/>
    </x:row>
    <x:row r="45">
      <x:c r="A45" s="94"/>
      <x:c r="B45" s="94"/>
      <x:c r="C45" s="94"/>
      <x:c r="D45" s="94"/>
      <x:c r="E45" s="94"/>
      <x:c r="F45" s="94"/>
      <x:c r="G45" s="94"/>
      <x:c r="H45" s="94"/>
      <x:c r="I45" s="94"/>
      <x:c r="J45" s="94"/>
    </x:row>
    <x:row r="46">
      <x:c r="A46" s="94"/>
      <x:c r="B46" s="94"/>
      <x:c r="C46" s="94"/>
      <x:c r="D46" s="94"/>
      <x:c r="E46" s="94"/>
      <x:c r="F46" s="94"/>
      <x:c r="G46" s="94"/>
      <x:c r="H46" s="94"/>
      <x:c r="I46" s="94"/>
      <x:c r="J46" s="94"/>
    </x:row>
    <x:row r="47">
      <x:c r="A47" s="94"/>
      <x:c r="B47" s="94"/>
      <x:c r="C47" s="94"/>
      <x:c r="D47" s="94"/>
      <x:c r="E47" s="94"/>
      <x:c r="F47" s="94"/>
      <x:c r="G47" s="94"/>
      <x:c r="H47" s="94"/>
      <x:c r="I47" s="94"/>
      <x:c r="J47" s="94"/>
    </x:row>
    <x:row r="48">
      <x:c r="A48" s="94"/>
      <x:c r="B48" s="94"/>
      <x:c r="C48" s="94"/>
      <x:c r="D48" s="94"/>
      <x:c r="E48" s="94"/>
      <x:c r="F48" s="94"/>
      <x:c r="G48" s="94"/>
      <x:c r="H48" s="94"/>
      <x:c r="I48" s="94"/>
      <x:c r="J48" s="94"/>
    </x:row>
    <x:row r="49">
      <x:c r="A49" s="94"/>
      <x:c r="B49" s="94"/>
      <x:c r="C49" s="94"/>
      <x:c r="D49" s="94"/>
      <x:c r="E49" s="94"/>
      <x:c r="F49" s="94"/>
      <x:c r="G49" s="94"/>
      <x:c r="H49" s="94"/>
      <x:c r="I49" s="94"/>
      <x:c r="J49" s="94"/>
    </x:row>
    <x:row r="50">
      <x:c r="A50" s="94"/>
      <x:c r="B50" s="94"/>
      <x:c r="C50" s="94"/>
      <x:c r="D50" s="94"/>
      <x:c r="E50" s="94"/>
      <x:c r="F50" s="94"/>
      <x:c r="G50" s="94"/>
      <x:c r="H50" s="94"/>
      <x:c r="I50" s="94"/>
      <x:c r="J50" s="94"/>
    </x:row>
    <x:row r="51">
      <x:c r="A51" s="94"/>
      <x:c r="B51" s="94"/>
      <x:c r="C51" s="94"/>
      <x:c r="D51" s="94"/>
      <x:c r="E51" s="94"/>
      <x:c r="F51" s="94"/>
      <x:c r="G51" s="94"/>
      <x:c r="H51" s="94"/>
      <x:c r="I51" s="94"/>
      <x:c r="J51" s="94"/>
    </x:row>
    <x:row r="52">
      <x:c r="A52" s="94"/>
      <x:c r="B52" s="94"/>
      <x:c r="C52" s="94"/>
      <x:c r="D52" s="94"/>
      <x:c r="E52" s="94"/>
      <x:c r="F52" s="94"/>
      <x:c r="G52" s="94"/>
      <x:c r="H52" s="94"/>
      <x:c r="I52" s="94"/>
      <x:c r="J52" s="94"/>
    </x:row>
    <x:row r="53">
      <x:c r="A53" s="94"/>
      <x:c r="B53" s="94"/>
      <x:c r="C53" s="94"/>
      <x:c r="D53" s="94"/>
      <x:c r="E53" s="94"/>
      <x:c r="F53" s="94"/>
      <x:c r="G53" s="94"/>
      <x:c r="H53" s="94"/>
      <x:c r="I53" s="94"/>
      <x:c r="J53" s="94"/>
    </x:row>
    <x:row r="54">
      <x:c r="A54" s="94"/>
      <x:c r="B54" s="94"/>
      <x:c r="C54" s="94"/>
      <x:c r="D54" s="94"/>
      <x:c r="E54" s="94"/>
      <x:c r="F54" s="94"/>
      <x:c r="G54" s="94"/>
      <x:c r="H54" s="94"/>
      <x:c r="I54" s="94"/>
      <x:c r="J54" s="94"/>
    </x:row>
    <x:row r="55">
      <x:c r="A55" s="94"/>
      <x:c r="B55" s="94"/>
      <x:c r="C55" s="94"/>
      <x:c r="D55" s="94"/>
      <x:c r="E55" s="94"/>
      <x:c r="F55" s="94"/>
      <x:c r="G55" s="94"/>
      <x:c r="H55" s="94"/>
      <x:c r="I55" s="94"/>
      <x:c r="J55" s="94"/>
    </x:row>
    <x:row r="56">
      <x:c r="A56" s="94"/>
      <x:c r="B56" s="94"/>
      <x:c r="C56" s="94"/>
      <x:c r="D56" s="94"/>
      <x:c r="E56" s="94"/>
      <x:c r="F56" s="94"/>
      <x:c r="G56" s="94"/>
      <x:c r="H56" s="94"/>
      <x:c r="I56" s="94"/>
      <x:c r="J56" s="94"/>
    </x:row>
    <x:row r="57">
      <x:c r="A57" s="94"/>
      <x:c r="B57" s="94"/>
      <x:c r="C57" s="94"/>
      <x:c r="D57" s="94"/>
      <x:c r="E57" s="94"/>
      <x:c r="F57" s="94"/>
      <x:c r="G57" s="94"/>
      <x:c r="H57" s="94"/>
      <x:c r="I57" s="94"/>
      <x:c r="J57" s="94"/>
    </x:row>
    <x:row r="58">
      <x:c r="A58" s="94"/>
      <x:c r="B58" s="94"/>
      <x:c r="C58" s="94"/>
      <x:c r="D58" s="94"/>
      <x:c r="E58" s="94"/>
      <x:c r="F58" s="94"/>
      <x:c r="G58" s="94"/>
      <x:c r="H58" s="94"/>
      <x:c r="I58" s="94"/>
      <x:c r="J58" s="94"/>
    </x:row>
    <x:row r="59">
      <x:c r="A59" s="94"/>
      <x:c r="B59" s="94"/>
      <x:c r="C59" s="94"/>
      <x:c r="D59" s="94"/>
      <x:c r="E59" s="94"/>
      <x:c r="F59" s="94"/>
      <x:c r="G59" s="94"/>
      <x:c r="H59" s="94"/>
      <x:c r="I59" s="94"/>
      <x:c r="J59" s="94"/>
    </x:row>
    <x:row r="60">
      <x:c r="A60" s="94"/>
      <x:c r="B60" s="94"/>
      <x:c r="C60" s="94"/>
      <x:c r="D60" s="94"/>
      <x:c r="E60" s="94"/>
      <x:c r="F60" s="94"/>
      <x:c r="G60" s="94"/>
      <x:c r="H60" s="94"/>
      <x:c r="I60" s="94"/>
      <x:c r="J60" s="94"/>
    </x:row>
  </x:sheetData>
  <x:mergeCells>
    <x:mergeCell ref="A1:H1"/>
    <x:mergeCell ref="A2:H2"/>
  </x:mergeCells>
  <x:pageMargins left="0.7" right="0.7" top="0.75" bottom="0.75" header="0.3" footer="0.3"/>
  <x:tableParts count="2">
    <x:tablePart xmlns:r="http://schemas.openxmlformats.org/officeDocument/2006/relationships" r:id="R9d76b3618fe24ac9"/>
    <x:tablePart xmlns:r="http://schemas.openxmlformats.org/officeDocument/2006/relationships" r:id="Ra0ae3a514e594196"/>
  </x:tableParts>
</x:worksheet>
</file>

<file path=xl/worksheets/sheet43.xml><?xml version="1.0" encoding="utf-8"?>
<x:worksheet xmlns:x="http://schemas.openxmlformats.org/spreadsheetml/2006/main">
  <x:sheetFormatPr defaultRowHeight="15"/>
  <x:cols>
    <x:col min="1" max="1" width="20" hidden="0" customWidth="1"/>
    <x:col min="2" max="2" width="46" hidden="0" customWidth="1"/>
    <x:col min="3" max="3" width="20" hidden="0" customWidth="1"/>
    <x:col min="4" max="4" width="24" hidden="0" customWidth="1"/>
    <x:col min="5" max="5" width="24" hidden="0" customWidth="1"/>
    <x:col min="6" max="6" width="22" hidden="0" customWidth="1"/>
    <x:col min="7" max="7" width="32" hidden="0" customWidth="1"/>
    <x:col min="8" max="8" width="48" hidden="0" customWidth="1"/>
  </x:cols>
  <x:sheetData>
    <x:row r="1" ht="28" customHeight="1">
      <x:c r="A1" s="214" t="str">
        <x:v>Hail × Solar v1.3 — Assumption Register</x:v>
      </x:c>
      <x:c r="B1" s="94"/>
      <x:c r="C1" s="94"/>
      <x:c r="D1" s="94"/>
      <x:c r="E1" s="94"/>
      <x:c r="F1" s="94"/>
      <x:c r="G1" s="94"/>
      <x:c r="H1" s="94"/>
      <x:c r="I1" s="94"/>
      <x:c r="J1" s="94"/>
    </x:row>
    <x:row r="2" ht="42" customHeight="1">
      <x:c r="A2" s="198" t="str">
        <x:v>Load-bearing assumptions are explicit. A reviewer should be able to see what is sourced, what is inferred, what is a placeholder, and what would trigger an update.</x:v>
      </x:c>
      <x:c r="B2" s="94"/>
      <x:c r="C2" s="94"/>
      <x:c r="D2" s="94"/>
      <x:c r="E2" s="94"/>
      <x:c r="F2" s="94"/>
      <x:c r="G2" s="94"/>
      <x:c r="H2" s="94"/>
      <x:c r="I2" s="94"/>
      <x:c r="J2" s="94"/>
    </x:row>
    <x:row r="3">
      <x:c r="A3" s="94"/>
      <x:c r="B3" s="94"/>
      <x:c r="C3" s="94"/>
      <x:c r="D3" s="94"/>
      <x:c r="E3" s="94"/>
      <x:c r="F3" s="94"/>
      <x:c r="G3" s="94"/>
      <x:c r="H3" s="94"/>
      <x:c r="I3" s="94"/>
      <x:c r="J3" s="94"/>
    </x:row>
    <x:row r="4">
      <x:c r="A4" s="215" t="str">
        <x:v>assumption_id</x:v>
      </x:c>
      <x:c r="B4" s="215" t="str">
        <x:v>assumption</x:v>
      </x:c>
      <x:c r="C4" s="215" t="str">
        <x:v>status</x:v>
      </x:c>
      <x:c r="D4" s="215" t="str">
        <x:v>used_in</x:v>
      </x:c>
      <x:c r="E4" s="215" t="str">
        <x:v>effect_if_changed</x:v>
      </x:c>
      <x:c r="F4" s="215" t="str">
        <x:v>confidence</x:v>
      </x:c>
      <x:c r="G4" s="215" t="str">
        <x:v>replacement_trigger</x:v>
      </x:c>
      <x:c r="H4" s="215" t="str">
        <x:v>notes</x:v>
      </x:c>
      <x:c r="I4" s="94"/>
      <x:c r="J4" s="94"/>
    </x:row>
    <x:row r="5">
      <x:c r="A5" s="94" t="str">
        <x:v>AS_HAIL_AXIS_DIAMETER</x:v>
      </x:c>
      <x:c r="B5" s="94" t="str">
        <x:v>Primary operational x-axis is maximum hail diameter / MESH-equivalent size, not kinetic energy.</x:v>
      </x:c>
      <x:c r="C5" s="94" t="str">
        <x:v>sourced decision</x:v>
      </x:c>
      <x:c r="D5" s="94" t="str">
        <x:v>X_Axis_Map; all hail curves</x:v>
      </x:c>
      <x:c r="E5" s="94" t="str">
        <x:v>Changing to KE-native would require hazard data conversion for most providers.</x:v>
      </x:c>
      <x:c r="F5" s="94" t="str">
        <x:v>high</x:v>
      </x:c>
      <x:c r="G5" s="94" t="str">
        <x:v>Provider supplies reliable KE-native or KE-flux hazard layer.</x:v>
      </x:c>
      <x:c r="H5" s="94" t="str">
        <x:v>Diameter remains compatible with Storm Events/MESH and lab diameter data.</x:v>
      </x:c>
      <x:c r="I5" s="94"/>
      <x:c r="J5" s="94"/>
    </x:row>
    <x:row r="6">
      <x:c r="A6" s="94" t="str">
        <x:v>AS_PBREAK_EQUALS_REPLACEMENT_DR</x:v>
      </x:c>
      <x:c r="B6" s="94" t="str">
        <x:v>v1 treats glass breakage probability as module replacement damage ratio.</x:v>
      </x:c>
      <x:c r="C6" s="94" t="str">
        <x:v>modeling approximation</x:v>
      </x:c>
      <x:c r="D6" s="94" t="str">
        <x:v>Curve output grain</x:v>
      </x:c>
      <x:c r="E6" s="94" t="str">
        <x:v>If broken modules are not always replaced, DR would be too high; if non-broken cell cracks lead to replacement, DR could be too low.</x:v>
      </x:c>
      <x:c r="F6" s="94" t="str">
        <x:v>medium</x:v>
      </x:c>
      <x:c r="G6" s="94" t="str">
        <x:v>Claims/repair policy data or module-specific post-hail replacement criteria.</x:v>
      </x:c>
      <x:c r="H6" s="94" t="str">
        <x:v>PVEL notes power loss can be low even when cracks exist; replacement trigger differs from energy degradation.</x:v>
      </x:c>
      <x:c r="I6" s="94"/>
      <x:c r="J6" s="94"/>
    </x:row>
    <x:row r="7">
      <x:c r="A7" s="94" t="str">
        <x:v>AS_IEC_25_NEAR_ZERO</x:v>
      </x:c>
      <x:c r="B7" s="94" t="str">
        <x:v>IEC 25mm pass is represented as near-zero module replacement probability: 1.0% default, 0.5% hardened.</x:v>
      </x:c>
      <x:c r="C7" s="94" t="str">
        <x:v>soft quantified anchor</x:v>
      </x:c>
      <x:c r="D7" s="94" t="str">
        <x:v>default/hardened fit</x:v>
      </x:c>
      <x:c r="E7" s="94" t="str">
        <x:v>A different near-zero anchor moves D50/k slightly.</x:v>
      </x:c>
      <x:c r="F7" s="94" t="str">
        <x:v>medium</x:v>
      </x:c>
      <x:c r="G7" s="94" t="str">
        <x:v>Better field data for 25–35mm replacement damage.</x:v>
      </x:c>
      <x:c r="H7" s="94" t="str">
        <x:v>IEC pass is certification, not a field damage curve.</x:v>
      </x:c>
      <x:c r="I7" s="94"/>
      <x:c r="J7" s="94"/>
    </x:row>
    <x:row r="8">
      <x:c r="A8" s="94" t="str">
        <x:v>AS_DEFAULT_ARCHETYPE</x:v>
      </x:c>
      <x:c r="B8" s="94" t="str">
        <x:v>Default module archetype is 3.2mm glass//backsheet when exact specs are absent.</x:v>
      </x:c>
      <x:c r="C8" s="94" t="str">
        <x:v>selector default</x:v>
      </x:c>
      <x:c r="D8" s="94" t="str">
        <x:v>Hail_Conditioning</x:v>
      </x:c>
      <x:c r="E8" s="94" t="str">
        <x:v>If actual modules are thin glass//glass, default underestimates damage; if hardened, overestimates.</x:v>
      </x:c>
      <x:c r="F8" s="94" t="str">
        <x:v>medium</x:v>
      </x:c>
      <x:c r="G8" s="94" t="str">
        <x:v>Exact module BOM / datasheet / hail test certificate.</x:v>
      </x:c>
      <x:c r="H8" s="94" t="str">
        <x:v>This is an assumption, not a guarantee.</x:v>
      </x:c>
      <x:c r="I8" s="94"/>
      <x:c r="J8" s="94"/>
    </x:row>
    <x:row r="9">
      <x:c r="A9" s="94" t="str">
        <x:v>AS_HARDENED_EXTRAPOLATION</x:v>
      </x:c>
      <x:c r="B9" s="94" t="str">
        <x:v>Hardened curve tail beyond public anchors is extrapolated.</x:v>
      </x:c>
      <x:c r="C9" s="94" t="str">
        <x:v>explicit caveat</x:v>
      </x:c>
      <x:c r="D9" s="94" t="str">
        <x:v>HAIL_SOLAR_HARDENED_THICKER</x:v>
      </x:c>
      <x:c r="E9" s="94" t="str">
        <x:v>Extreme-hail losses for hardened modules may be over/underestimated.</x:v>
      </x:c>
      <x:c r="F9" s="94" t="str">
        <x:v>low/medium</x:v>
      </x:c>
      <x:c r="G9" s="94" t="str">
        <x:v>Expanded hail test results for hardened designs across 50–76mm.</x:v>
      </x:c>
      <x:c r="H9" s="94" t="str">
        <x:v>Public hardened sample sizes are limited.</x:v>
      </x:c>
      <x:c r="I9" s="94"/>
      <x:c r="J9" s="94"/>
    </x:row>
    <x:row r="10">
      <x:c r="A10" s="94" t="str">
        <x:v>AS_STOW_D50_SHIFT</x:v>
      </x:c>
      <x:c r="B10" s="94" t="str">
        <x:v>Stowed state shifts selected D50 by +8mm.</x:v>
      </x:c>
      <x:c r="C10" s="94" t="str">
        <x:v>placeholder conditioner</x:v>
      </x:c>
      <x:c r="D10" s="94" t="str">
        <x:v>Hail_Conditioning</x:v>
      </x:c>
      <x:c r="E10" s="94" t="str">
        <x:v>Controls benefit of stow around transition zone; material effect on 45–65mm losses.</x:v>
      </x:c>
      <x:c r="F10" s="94" t="str">
        <x:v>low</x:v>
      </x:c>
      <x:c r="G10" s="94" t="str">
        <x:v>Tracker-specific hail stow testing or validated angle-to-energy model.</x:v>
      </x:c>
      <x:c r="H10" s="94" t="str">
        <x:v>VDE/DOE support direction, not current numeric value.</x:v>
      </x:c>
      <x:c r="I10" s="94"/>
      <x:c r="J10" s="94"/>
    </x:row>
    <x:row r="11">
      <x:c r="A11" s="94" t="str">
        <x:v>AS_STOW_MAX_MULTIPLIER</x:v>
      </x:c>
      <x:c r="B11" s="94" t="str">
        <x:v>Stowed curve max_DR multiplier is 0.90.</x:v>
      </x:c>
      <x:c r="C11" s="94" t="str">
        <x:v>placeholder conditioner</x:v>
      </x:c>
      <x:c r="D11" s="94" t="str">
        <x:v>Hail_Conditioning</x:v>
      </x:c>
      <x:c r="E11" s="94" t="str">
        <x:v>Affects high-end loss cap under stowed state.</x:v>
      </x:c>
      <x:c r="F11" s="94" t="str">
        <x:v>low</x:v>
      </x:c>
      <x:c r="G11" s="94" t="str">
        <x:v>Empirical stow loss reduction / exposed-area study.</x:v>
      </x:c>
      <x:c r="H11" s="94" t="str">
        <x:v>Could be replaced by angle/exposure geometry.</x:v>
      </x:c>
      <x:c r="I11" s="94"/>
      <x:c r="J11" s="94"/>
    </x:row>
    <x:row r="12">
      <x:c r="A12" s="94" t="str">
        <x:v>AS_PROB_STOW</x:v>
      </x:c>
      <x:c r="B12" s="94" t="str">
        <x:v>If stow state is unknown, expected DR is a probability-weighted blend of stowed and unstowed states.</x:v>
      </x:c>
      <x:c r="C12" s="94" t="str">
        <x:v>modeling logic</x:v>
      </x:c>
      <x:c r="D12" s="94" t="str">
        <x:v>Hail_Conditioning</x:v>
      </x:c>
      <x:c r="E12" s="94" t="str">
        <x:v>If probability is wrong, expected DR is wrong; deterministic states avoid this.</x:v>
      </x:c>
      <x:c r="F12" s="94" t="str">
        <x:v>medium logic / input-dependent</x:v>
      </x:c>
      <x:c r="G12" s="94" t="str">
        <x:v>SCADA logs, command confirmation, alert lead-time records.</x:v>
      </x:c>
      <x:c r="H12" s="94" t="str">
        <x:v>Probability of stow is not probability of hail.</x:v>
      </x:c>
      <x:c r="I12" s="94"/>
      <x:c r="J12" s="94"/>
    </x:row>
    <x:row r="13">
      <x:c r="A13" s="94" t="str">
        <x:v>AS_FULL_EXPOSURE_DEFAULT</x:v>
      </x:c>
      <x:c r="B13" s="94" t="str">
        <x:v>Default exposure_fraction is 1.0 until site swath overlay is available.</x:v>
      </x:c>
      <x:c r="C13" s="94" t="str">
        <x:v>placeholder exposure</x:v>
      </x:c>
      <x:c r="D13" s="94" t="str">
        <x:v>Hail_Site_Loss</x:v>
      </x:c>
      <x:c r="E13" s="94" t="str">
        <x:v>May overstate loss for localized swaths; appropriate for conservative full-footprint scenario.</x:v>
      </x:c>
      <x:c r="F13" s="94" t="str">
        <x:v>medium</x:v>
      </x:c>
      <x:c r="G13" s="94" t="str">
        <x:v>GIS overlay of MESH swath and array footprint.</x:v>
      </x:c>
      <x:c r="H13" s="94" t="str">
        <x:v>Exposure multiplies loss, not module DR.</x:v>
      </x:c>
      <x:c r="I13" s="94"/>
      <x:c r="J13" s="94"/>
    </x:row>
    <x:row r="14">
      <x:c r="A14" s="94" t="str">
        <x:v>AS_SECONDARY_DR_ZERO</x:v>
      </x:c>
      <x:c r="B14" s="94" t="str">
        <x:v>Non-module subsystems are reviewed and treated as DR≈0/secondary for direct hail in v1.</x:v>
      </x:c>
      <x:c r="C14" s="94" t="str">
        <x:v>coverage decision</x:v>
      </x:c>
      <x:c r="D14" s="94" t="str">
        <x:v>Hail_Solar_Coverage</x:v>
      </x:c>
      <x:c r="E14" s="94" t="str">
        <x:v>If evidence shows material direct hail damage to trackers/enclosures/instruments, add a curve.</x:v>
      </x:c>
      <x:c r="F14" s="94" t="str">
        <x:v>medium</x:v>
      </x:c>
      <x:c r="G14" s="94" t="str">
        <x:v>Claims/source evidence for distinct material direct-hail equipment loss.</x:v>
      </x:c>
      <x:c r="H14" s="94" t="str">
        <x:v>Kept explicit for reconciliation instead of silently ignored.</x:v>
      </x:c>
      <x:c r="I14" s="94"/>
      <x:c r="J14" s="94"/>
    </x:row>
    <x:row r="15">
      <x:c r="A15" s="94" t="str">
        <x:v>AS_F_HAIL_MATERIAL_SHARE</x:v>
      </x:c>
      <x:c r="B15" s="94" t="str">
        <x:v>f_hail material share is a placeholder value-link parameter inside PV_ARRAY.</x:v>
      </x:c>
      <x:c r="C15" s="94" t="str">
        <x:v>valuation/open seam</x:v>
      </x:c>
      <x:c r="D15" s="94" t="str">
        <x:v>Value_Link; cap-binding</x:v>
      </x:c>
      <x:c r="E15" s="94" t="str">
        <x:v>Controls cap_L; changes asset-level loss cap materially.</x:v>
      </x:c>
      <x:c r="F15" s="94" t="str">
        <x:v>medium/low</x:v>
      </x:c>
      <x:c r="G15" s="94" t="str">
        <x:v>Module BOM / replacement cost allocation specific to module glass/cell failure.</x:v>
      </x:c>
      <x:c r="H15" s="94" t="str">
        <x:v>This remains one of the main open seams.</x:v>
      </x:c>
      <x:c r="I15" s="94"/>
      <x:c r="J15" s="94"/>
    </x:row>
    <x:row r="16">
      <x:c r="A16" s="94"/>
      <x:c r="B16" s="94"/>
      <x:c r="C16" s="94"/>
      <x:c r="D16" s="94"/>
      <x:c r="E16" s="94"/>
      <x:c r="F16" s="94"/>
      <x:c r="G16" s="94"/>
      <x:c r="H16" s="94"/>
      <x:c r="I16" s="94"/>
      <x:c r="J16" s="94"/>
    </x:row>
    <x:row r="17">
      <x:c r="A17" s="94"/>
      <x:c r="B17" s="94"/>
      <x:c r="C17" s="94"/>
      <x:c r="D17" s="94"/>
      <x:c r="E17" s="94"/>
      <x:c r="F17" s="94"/>
      <x:c r="G17" s="94"/>
      <x:c r="H17" s="94"/>
      <x:c r="I17" s="94"/>
      <x:c r="J17" s="94"/>
    </x:row>
    <x:row r="18">
      <x:c r="A18" s="94"/>
      <x:c r="B18" s="94"/>
      <x:c r="C18" s="94"/>
      <x:c r="D18" s="94"/>
      <x:c r="E18" s="94"/>
      <x:c r="F18" s="94"/>
      <x:c r="G18" s="94"/>
      <x:c r="H18" s="94"/>
      <x:c r="I18" s="94"/>
      <x:c r="J18" s="94"/>
    </x:row>
    <x:row r="19">
      <x:c r="A19" s="94"/>
      <x:c r="B19" s="94"/>
      <x:c r="C19" s="94"/>
      <x:c r="D19" s="94"/>
      <x:c r="E19" s="94"/>
      <x:c r="F19" s="94"/>
      <x:c r="G19" s="94"/>
      <x:c r="H19" s="94"/>
      <x:c r="I19" s="94"/>
      <x:c r="J19" s="94"/>
    </x:row>
    <x:row r="20">
      <x:c r="A20" s="94"/>
      <x:c r="B20" s="94"/>
      <x:c r="C20" s="94"/>
      <x:c r="D20" s="94"/>
      <x:c r="E20" s="94"/>
      <x:c r="F20" s="94"/>
      <x:c r="G20" s="94"/>
      <x:c r="H20" s="94"/>
      <x:c r="I20" s="94"/>
      <x:c r="J20" s="94"/>
    </x:row>
    <x:row r="21">
      <x:c r="A21" s="94"/>
      <x:c r="B21" s="94"/>
      <x:c r="C21" s="94"/>
      <x:c r="D21" s="94"/>
      <x:c r="E21" s="94"/>
      <x:c r="F21" s="94"/>
      <x:c r="G21" s="94"/>
      <x:c r="H21" s="94"/>
      <x:c r="I21" s="94"/>
      <x:c r="J21" s="94"/>
    </x:row>
    <x:row r="22">
      <x:c r="A22" s="94"/>
      <x:c r="B22" s="94"/>
      <x:c r="C22" s="94"/>
      <x:c r="D22" s="94"/>
      <x:c r="E22" s="94"/>
      <x:c r="F22" s="94"/>
      <x:c r="G22" s="94"/>
      <x:c r="H22" s="94"/>
      <x:c r="I22" s="94"/>
      <x:c r="J22" s="94"/>
    </x:row>
    <x:row r="23">
      <x:c r="A23" s="94"/>
      <x:c r="B23" s="94"/>
      <x:c r="C23" s="94"/>
      <x:c r="D23" s="94"/>
      <x:c r="E23" s="94"/>
      <x:c r="F23" s="94"/>
      <x:c r="G23" s="94"/>
      <x:c r="H23" s="94"/>
      <x:c r="I23" s="94"/>
      <x:c r="J23" s="94"/>
    </x:row>
    <x:row r="24">
      <x:c r="A24" s="94"/>
      <x:c r="B24" s="94"/>
      <x:c r="C24" s="94"/>
      <x:c r="D24" s="94"/>
      <x:c r="E24" s="94"/>
      <x:c r="F24" s="94"/>
      <x:c r="G24" s="94"/>
      <x:c r="H24" s="94"/>
      <x:c r="I24" s="94"/>
      <x:c r="J24" s="94"/>
    </x:row>
    <x:row r="25">
      <x:c r="A25" s="94"/>
      <x:c r="B25" s="94"/>
      <x:c r="C25" s="94"/>
      <x:c r="D25" s="94"/>
      <x:c r="E25" s="94"/>
      <x:c r="F25" s="94"/>
      <x:c r="G25" s="94"/>
      <x:c r="H25" s="94"/>
      <x:c r="I25" s="94"/>
      <x:c r="J25" s="94"/>
    </x:row>
    <x:row r="26">
      <x:c r="A26" s="94"/>
      <x:c r="B26" s="94"/>
      <x:c r="C26" s="94"/>
      <x:c r="D26" s="94"/>
      <x:c r="E26" s="94"/>
      <x:c r="F26" s="94"/>
      <x:c r="G26" s="94"/>
      <x:c r="H26" s="94"/>
      <x:c r="I26" s="94"/>
      <x:c r="J26" s="94"/>
    </x:row>
    <x:row r="27">
      <x:c r="A27" s="94"/>
      <x:c r="B27" s="94"/>
      <x:c r="C27" s="94"/>
      <x:c r="D27" s="94"/>
      <x:c r="E27" s="94"/>
      <x:c r="F27" s="94"/>
      <x:c r="G27" s="94"/>
      <x:c r="H27" s="94"/>
      <x:c r="I27" s="94"/>
      <x:c r="J27" s="94"/>
    </x:row>
    <x:row r="28">
      <x:c r="A28" s="94"/>
      <x:c r="B28" s="94"/>
      <x:c r="C28" s="94"/>
      <x:c r="D28" s="94"/>
      <x:c r="E28" s="94"/>
      <x:c r="F28" s="94"/>
      <x:c r="G28" s="94"/>
      <x:c r="H28" s="94"/>
      <x:c r="I28" s="94"/>
      <x:c r="J28" s="94"/>
    </x:row>
    <x:row r="29">
      <x:c r="A29" s="94"/>
      <x:c r="B29" s="94"/>
      <x:c r="C29" s="94"/>
      <x:c r="D29" s="94"/>
      <x:c r="E29" s="94"/>
      <x:c r="F29" s="94"/>
      <x:c r="G29" s="94"/>
      <x:c r="H29" s="94"/>
      <x:c r="I29" s="94"/>
      <x:c r="J29" s="94"/>
    </x:row>
    <x:row r="30">
      <x:c r="A30" s="94"/>
      <x:c r="B30" s="94"/>
      <x:c r="C30" s="94"/>
      <x:c r="D30" s="94"/>
      <x:c r="E30" s="94"/>
      <x:c r="F30" s="94"/>
      <x:c r="G30" s="94"/>
      <x:c r="H30" s="94"/>
      <x:c r="I30" s="94"/>
      <x:c r="J30" s="94"/>
    </x:row>
    <x:row r="31">
      <x:c r="A31" s="94"/>
      <x:c r="B31" s="94"/>
      <x:c r="C31" s="94"/>
      <x:c r="D31" s="94"/>
      <x:c r="E31" s="94"/>
      <x:c r="F31" s="94"/>
      <x:c r="G31" s="94"/>
      <x:c r="H31" s="94"/>
      <x:c r="I31" s="94"/>
      <x:c r="J31" s="94"/>
    </x:row>
    <x:row r="32">
      <x:c r="A32" s="94"/>
      <x:c r="B32" s="94"/>
      <x:c r="C32" s="94"/>
      <x:c r="D32" s="94"/>
      <x:c r="E32" s="94"/>
      <x:c r="F32" s="94"/>
      <x:c r="G32" s="94"/>
      <x:c r="H32" s="94"/>
      <x:c r="I32" s="94"/>
      <x:c r="J32" s="94"/>
    </x:row>
    <x:row r="33">
      <x:c r="A33" s="94"/>
      <x:c r="B33" s="94"/>
      <x:c r="C33" s="94"/>
      <x:c r="D33" s="94"/>
      <x:c r="E33" s="94"/>
      <x:c r="F33" s="94"/>
      <x:c r="G33" s="94"/>
      <x:c r="H33" s="94"/>
      <x:c r="I33" s="94"/>
      <x:c r="J33" s="94"/>
    </x:row>
    <x:row r="34">
      <x:c r="A34" s="94"/>
      <x:c r="B34" s="94"/>
      <x:c r="C34" s="94"/>
      <x:c r="D34" s="94"/>
      <x:c r="E34" s="94"/>
      <x:c r="F34" s="94"/>
      <x:c r="G34" s="94"/>
      <x:c r="H34" s="94"/>
      <x:c r="I34" s="94"/>
      <x:c r="J34" s="94"/>
    </x:row>
    <x:row r="35">
      <x:c r="A35" s="94"/>
      <x:c r="B35" s="94"/>
      <x:c r="C35" s="94"/>
      <x:c r="D35" s="94"/>
      <x:c r="E35" s="94"/>
      <x:c r="F35" s="94"/>
      <x:c r="G35" s="94"/>
      <x:c r="H35" s="94"/>
      <x:c r="I35" s="94"/>
      <x:c r="J35" s="94"/>
    </x:row>
    <x:row r="36">
      <x:c r="A36" s="94"/>
      <x:c r="B36" s="94"/>
      <x:c r="C36" s="94"/>
      <x:c r="D36" s="94"/>
      <x:c r="E36" s="94"/>
      <x:c r="F36" s="94"/>
      <x:c r="G36" s="94"/>
      <x:c r="H36" s="94"/>
      <x:c r="I36" s="94"/>
      <x:c r="J36" s="94"/>
    </x:row>
    <x:row r="37">
      <x:c r="A37" s="94"/>
      <x:c r="B37" s="94"/>
      <x:c r="C37" s="94"/>
      <x:c r="D37" s="94"/>
      <x:c r="E37" s="94"/>
      <x:c r="F37" s="94"/>
      <x:c r="G37" s="94"/>
      <x:c r="H37" s="94"/>
      <x:c r="I37" s="94"/>
      <x:c r="J37" s="94"/>
    </x:row>
    <x:row r="38">
      <x:c r="A38" s="94"/>
      <x:c r="B38" s="94"/>
      <x:c r="C38" s="94"/>
      <x:c r="D38" s="94"/>
      <x:c r="E38" s="94"/>
      <x:c r="F38" s="94"/>
      <x:c r="G38" s="94"/>
      <x:c r="H38" s="94"/>
      <x:c r="I38" s="94"/>
      <x:c r="J38" s="94"/>
    </x:row>
    <x:row r="39">
      <x:c r="A39" s="94"/>
      <x:c r="B39" s="94"/>
      <x:c r="C39" s="94"/>
      <x:c r="D39" s="94"/>
      <x:c r="E39" s="94"/>
      <x:c r="F39" s="94"/>
      <x:c r="G39" s="94"/>
      <x:c r="H39" s="94"/>
      <x:c r="I39" s="94"/>
      <x:c r="J39" s="94"/>
    </x:row>
    <x:row r="40">
      <x:c r="A40" s="94"/>
      <x:c r="B40" s="94"/>
      <x:c r="C40" s="94"/>
      <x:c r="D40" s="94"/>
      <x:c r="E40" s="94"/>
      <x:c r="F40" s="94"/>
      <x:c r="G40" s="94"/>
      <x:c r="H40" s="94"/>
      <x:c r="I40" s="94"/>
      <x:c r="J40" s="94"/>
    </x:row>
    <x:row r="41">
      <x:c r="A41" s="94"/>
      <x:c r="B41" s="94"/>
      <x:c r="C41" s="94"/>
      <x:c r="D41" s="94"/>
      <x:c r="E41" s="94"/>
      <x:c r="F41" s="94"/>
      <x:c r="G41" s="94"/>
      <x:c r="H41" s="94"/>
      <x:c r="I41" s="94"/>
      <x:c r="J41" s="94"/>
    </x:row>
    <x:row r="42">
      <x:c r="A42" s="94"/>
      <x:c r="B42" s="94"/>
      <x:c r="C42" s="94"/>
      <x:c r="D42" s="94"/>
      <x:c r="E42" s="94"/>
      <x:c r="F42" s="94"/>
      <x:c r="G42" s="94"/>
      <x:c r="H42" s="94"/>
      <x:c r="I42" s="94"/>
      <x:c r="J42" s="94"/>
    </x:row>
    <x:row r="43">
      <x:c r="A43" s="94"/>
      <x:c r="B43" s="94"/>
      <x:c r="C43" s="94"/>
      <x:c r="D43" s="94"/>
      <x:c r="E43" s="94"/>
      <x:c r="F43" s="94"/>
      <x:c r="G43" s="94"/>
      <x:c r="H43" s="94"/>
      <x:c r="I43" s="94"/>
      <x:c r="J43" s="94"/>
    </x:row>
    <x:row r="44">
      <x:c r="A44" s="94"/>
      <x:c r="B44" s="94"/>
      <x:c r="C44" s="94"/>
      <x:c r="D44" s="94"/>
      <x:c r="E44" s="94"/>
      <x:c r="F44" s="94"/>
      <x:c r="G44" s="94"/>
      <x:c r="H44" s="94"/>
      <x:c r="I44" s="94"/>
      <x:c r="J44" s="94"/>
    </x:row>
    <x:row r="45">
      <x:c r="A45" s="94"/>
      <x:c r="B45" s="94"/>
      <x:c r="C45" s="94"/>
      <x:c r="D45" s="94"/>
      <x:c r="E45" s="94"/>
      <x:c r="F45" s="94"/>
      <x:c r="G45" s="94"/>
      <x:c r="H45" s="94"/>
      <x:c r="I45" s="94"/>
      <x:c r="J45" s="94"/>
    </x:row>
    <x:row r="46">
      <x:c r="A46" s="94"/>
      <x:c r="B46" s="94"/>
      <x:c r="C46" s="94"/>
      <x:c r="D46" s="94"/>
      <x:c r="E46" s="94"/>
      <x:c r="F46" s="94"/>
      <x:c r="G46" s="94"/>
      <x:c r="H46" s="94"/>
      <x:c r="I46" s="94"/>
      <x:c r="J46" s="94"/>
    </x:row>
    <x:row r="47">
      <x:c r="A47" s="94"/>
      <x:c r="B47" s="94"/>
      <x:c r="C47" s="94"/>
      <x:c r="D47" s="94"/>
      <x:c r="E47" s="94"/>
      <x:c r="F47" s="94"/>
      <x:c r="G47" s="94"/>
      <x:c r="H47" s="94"/>
      <x:c r="I47" s="94"/>
      <x:c r="J47" s="94"/>
    </x:row>
    <x:row r="48">
      <x:c r="A48" s="94"/>
      <x:c r="B48" s="94"/>
      <x:c r="C48" s="94"/>
      <x:c r="D48" s="94"/>
      <x:c r="E48" s="94"/>
      <x:c r="F48" s="94"/>
      <x:c r="G48" s="94"/>
      <x:c r="H48" s="94"/>
      <x:c r="I48" s="94"/>
      <x:c r="J48" s="94"/>
    </x:row>
    <x:row r="49">
      <x:c r="A49" s="94"/>
      <x:c r="B49" s="94"/>
      <x:c r="C49" s="94"/>
      <x:c r="D49" s="94"/>
      <x:c r="E49" s="94"/>
      <x:c r="F49" s="94"/>
      <x:c r="G49" s="94"/>
      <x:c r="H49" s="94"/>
      <x:c r="I49" s="94"/>
      <x:c r="J49" s="94"/>
    </x:row>
    <x:row r="50">
      <x:c r="A50" s="94"/>
      <x:c r="B50" s="94"/>
      <x:c r="C50" s="94"/>
      <x:c r="D50" s="94"/>
      <x:c r="E50" s="94"/>
      <x:c r="F50" s="94"/>
      <x:c r="G50" s="94"/>
      <x:c r="H50" s="94"/>
      <x:c r="I50" s="94"/>
      <x:c r="J50" s="94"/>
    </x:row>
    <x:row r="51">
      <x:c r="A51" s="94"/>
      <x:c r="B51" s="94"/>
      <x:c r="C51" s="94"/>
      <x:c r="D51" s="94"/>
      <x:c r="E51" s="94"/>
      <x:c r="F51" s="94"/>
      <x:c r="G51" s="94"/>
      <x:c r="H51" s="94"/>
      <x:c r="I51" s="94"/>
      <x:c r="J51" s="94"/>
    </x:row>
    <x:row r="52">
      <x:c r="A52" s="94"/>
      <x:c r="B52" s="94"/>
      <x:c r="C52" s="94"/>
      <x:c r="D52" s="94"/>
      <x:c r="E52" s="94"/>
      <x:c r="F52" s="94"/>
      <x:c r="G52" s="94"/>
      <x:c r="H52" s="94"/>
      <x:c r="I52" s="94"/>
      <x:c r="J52" s="94"/>
    </x:row>
    <x:row r="53">
      <x:c r="A53" s="94"/>
      <x:c r="B53" s="94"/>
      <x:c r="C53" s="94"/>
      <x:c r="D53" s="94"/>
      <x:c r="E53" s="94"/>
      <x:c r="F53" s="94"/>
      <x:c r="G53" s="94"/>
      <x:c r="H53" s="94"/>
      <x:c r="I53" s="94"/>
      <x:c r="J53" s="94"/>
    </x:row>
    <x:row r="54">
      <x:c r="A54" s="94"/>
      <x:c r="B54" s="94"/>
      <x:c r="C54" s="94"/>
      <x:c r="D54" s="94"/>
      <x:c r="E54" s="94"/>
      <x:c r="F54" s="94"/>
      <x:c r="G54" s="94"/>
      <x:c r="H54" s="94"/>
      <x:c r="I54" s="94"/>
      <x:c r="J54" s="94"/>
    </x:row>
    <x:row r="55">
      <x:c r="A55" s="94"/>
      <x:c r="B55" s="94"/>
      <x:c r="C55" s="94"/>
      <x:c r="D55" s="94"/>
      <x:c r="E55" s="94"/>
      <x:c r="F55" s="94"/>
      <x:c r="G55" s="94"/>
      <x:c r="H55" s="94"/>
      <x:c r="I55" s="94"/>
      <x:c r="J55" s="94"/>
    </x:row>
    <x:row r="56">
      <x:c r="A56" s="94"/>
      <x:c r="B56" s="94"/>
      <x:c r="C56" s="94"/>
      <x:c r="D56" s="94"/>
      <x:c r="E56" s="94"/>
      <x:c r="F56" s="94"/>
      <x:c r="G56" s="94"/>
      <x:c r="H56" s="94"/>
      <x:c r="I56" s="94"/>
      <x:c r="J56" s="94"/>
    </x:row>
    <x:row r="57">
      <x:c r="A57" s="94"/>
      <x:c r="B57" s="94"/>
      <x:c r="C57" s="94"/>
      <x:c r="D57" s="94"/>
      <x:c r="E57" s="94"/>
      <x:c r="F57" s="94"/>
      <x:c r="G57" s="94"/>
      <x:c r="H57" s="94"/>
      <x:c r="I57" s="94"/>
      <x:c r="J57" s="94"/>
    </x:row>
    <x:row r="58">
      <x:c r="A58" s="94"/>
      <x:c r="B58" s="94"/>
      <x:c r="C58" s="94"/>
      <x:c r="D58" s="94"/>
      <x:c r="E58" s="94"/>
      <x:c r="F58" s="94"/>
      <x:c r="G58" s="94"/>
      <x:c r="H58" s="94"/>
      <x:c r="I58" s="94"/>
      <x:c r="J58" s="94"/>
    </x:row>
    <x:row r="59">
      <x:c r="A59" s="94"/>
      <x:c r="B59" s="94"/>
      <x:c r="C59" s="94"/>
      <x:c r="D59" s="94"/>
      <x:c r="E59" s="94"/>
      <x:c r="F59" s="94"/>
      <x:c r="G59" s="94"/>
      <x:c r="H59" s="94"/>
      <x:c r="I59" s="94"/>
      <x:c r="J59" s="94"/>
    </x:row>
    <x:row r="60">
      <x:c r="A60" s="94"/>
      <x:c r="B60" s="94"/>
      <x:c r="C60" s="94"/>
      <x:c r="D60" s="94"/>
      <x:c r="E60" s="94"/>
      <x:c r="F60" s="94"/>
      <x:c r="G60" s="94"/>
      <x:c r="H60" s="94"/>
      <x:c r="I60" s="94"/>
      <x:c r="J60" s="94"/>
    </x:row>
  </x:sheetData>
  <x:mergeCells>
    <x:mergeCell ref="A1:H1"/>
    <x:mergeCell ref="A2:H2"/>
  </x:mergeCells>
  <x:pageMargins left="0.7" right="0.7" top="0.75" bottom="0.75" header="0.3" footer="0.3"/>
  <x:tableParts count="1">
    <x:tablePart xmlns:r="http://schemas.openxmlformats.org/officeDocument/2006/relationships" r:id="R97b632ec7a0a4972"/>
  </x:tableParts>
</x:worksheet>
</file>