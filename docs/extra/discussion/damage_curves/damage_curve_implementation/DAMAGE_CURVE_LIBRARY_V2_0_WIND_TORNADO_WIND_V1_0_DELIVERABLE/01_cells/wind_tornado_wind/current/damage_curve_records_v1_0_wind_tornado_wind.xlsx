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c3b84a64143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9c6ba98b23240c9"/>
    <x:sheet xmlns:r="http://schemas.openxmlformats.org/officeDocument/2006/relationships" name="Dashboard" sheetId="2" r:id="R2fa6d64a632a4481"/>
    <x:sheet xmlns:r="http://schemas.openxmlformats.org/officeDocument/2006/relationships" name="Wind_Coverage" sheetId="3" r:id="R41e9440504b740d6"/>
    <x:sheet xmlns:r="http://schemas.openxmlformats.org/officeDocument/2006/relationships" name="X_Axis_Decision" sheetId="4" r:id="Reb70d9d05ed74e48"/>
    <x:sheet xmlns:r="http://schemas.openxmlformats.org/officeDocument/2006/relationships" name="Curve_Records" sheetId="5" r:id="Rf88903e848394b55"/>
    <x:sheet xmlns:r="http://schemas.openxmlformats.org/officeDocument/2006/relationships" name="Curve_Params" sheetId="6" r:id="Rd090714244174436"/>
    <x:sheet xmlns:r="http://schemas.openxmlformats.org/officeDocument/2006/relationships" name="IEC_Class_Selectors" sheetId="7" r:id="R6567d5ec95ac46c3"/>
    <x:sheet xmlns:r="http://schemas.openxmlformats.org/officeDocument/2006/relationships" name="Evidence_Params" sheetId="8" r:id="R89d71a588b4046cd"/>
    <x:sheet xmlns:r="http://schemas.openxmlformats.org/officeDocument/2006/relationships" name="Wind_Base_Curve_Fit" sheetId="9" r:id="R7febbb07c5284333"/>
    <x:sheet xmlns:r="http://schemas.openxmlformats.org/officeDocument/2006/relationships" name="Adjustment_Rules" sheetId="10" r:id="Rfa3ad83c2b614e04"/>
    <x:sheet xmlns:r="http://schemas.openxmlformats.org/officeDocument/2006/relationships" name="Variant_Catalog" sheetId="11" r:id="Rc36e791c995c4840"/>
    <x:sheet xmlns:r="http://schemas.openxmlformats.org/officeDocument/2006/relationships" name="Selectors_Conditioners" sheetId="12" r:id="Ra93048a633f24a18"/>
    <x:sheet xmlns:r="http://schemas.openxmlformats.org/officeDocument/2006/relationships" name="Hazard_Metadata" sheetId="13" r:id="R8c84dce3a3b8461b"/>
    <x:sheet xmlns:r="http://schemas.openxmlformats.org/officeDocument/2006/relationships" name="Value_Link" sheetId="14" r:id="Reffab08d533b40eb"/>
    <x:sheet xmlns:r="http://schemas.openxmlformats.org/officeDocument/2006/relationships" name="Sources" sheetId="15" r:id="R142320d016ac49ac"/>
    <x:sheet xmlns:r="http://schemas.openxmlformats.org/officeDocument/2006/relationships" name="Lists" sheetId="16" r:id="Re468fe17f1c0492f"/>
    <x:sheet xmlns:r="http://schemas.openxmlformats.org/officeDocument/2006/relationships" name="Wind_Curve_Data" sheetId="17" r:id="R2e0689aeb3864a0e"/>
    <x:sheet xmlns:r="http://schemas.openxmlformats.org/officeDocument/2006/relationships" name="Site_Applied_Loss" sheetId="18" r:id="Reea7fa8fff934641"/>
    <x:sheet xmlns:r="http://schemas.openxmlformats.org/officeDocument/2006/relationships" name="Damage_Code_Interface" sheetId="19" r:id="Rc1ebc3018305400f"/>
    <x:sheet xmlns:r="http://schemas.openxmlformats.org/officeDocument/2006/relationships" name="Assumption_Register" sheetId="20" r:id="Rfb08cd853fd24c52"/>
    <x:sheet xmlns:r="http://schemas.openxmlformats.org/officeDocument/2006/relationships" name="Open_Seams" sheetId="21" r:id="Rd393a0346e54417d"/>
    <x:sheet xmlns:r="http://schemas.openxmlformats.org/officeDocument/2006/relationships" name="QA_Checks" sheetId="22" r:id="Rb0827921fd75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%"/>
    <x:numFmt numFmtId="202" formatCode="0.0"/>
    <x:numFmt numFmtId="203" formatCode="0.0%"/>
  </x:numFmts>
  <x:fonts count="4">
    <x:font>
      <x:sz val="11"/>
      <x:name val="Carlito"/>
    </x:font>
    <x:font>
      <x:b/>
      <x:sz val="16"/>
      <x:color rgb="FF1F4E78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2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c68b3b5b94cbf" /><Relationship Type="http://schemas.openxmlformats.org/officeDocument/2006/relationships/theme" Target="/xl/theme/theme1.xml" Id="R2ec3888b6e0c43f8" /><Relationship Type="http://schemas.openxmlformats.org/officeDocument/2006/relationships/sharedStrings" Target="/xl/sharedStrings.xml" Id="R74c25583db29488f" /><Relationship Type="http://schemas.openxmlformats.org/officeDocument/2006/relationships/worksheet" Target="/xl/worksheets/sheet1.xml" Id="R79c6ba98b23240c9" /><Relationship Type="http://schemas.openxmlformats.org/officeDocument/2006/relationships/worksheet" Target="/xl/worksheets/sheet2.xml" Id="R2fa6d64a632a4481" /><Relationship Type="http://schemas.openxmlformats.org/officeDocument/2006/relationships/worksheet" Target="/xl/worksheets/sheet3.xml" Id="R41e9440504b740d6" /><Relationship Type="http://schemas.openxmlformats.org/officeDocument/2006/relationships/worksheet" Target="/xl/worksheets/sheet4.xml" Id="Reb70d9d05ed74e48" /><Relationship Type="http://schemas.openxmlformats.org/officeDocument/2006/relationships/worksheet" Target="/xl/worksheets/sheet5.xml" Id="Rf88903e848394b55" /><Relationship Type="http://schemas.openxmlformats.org/officeDocument/2006/relationships/worksheet" Target="/xl/worksheets/sheet6.xml" Id="Rd090714244174436" /><Relationship Type="http://schemas.openxmlformats.org/officeDocument/2006/relationships/worksheet" Target="/xl/worksheets/sheet7.xml" Id="R6567d5ec95ac46c3" /><Relationship Type="http://schemas.openxmlformats.org/officeDocument/2006/relationships/worksheet" Target="/xl/worksheets/sheet8.xml" Id="R89d71a588b4046cd" /><Relationship Type="http://schemas.openxmlformats.org/officeDocument/2006/relationships/worksheet" Target="/xl/worksheets/sheet9.xml" Id="R7febbb07c5284333" /><Relationship Type="http://schemas.openxmlformats.org/officeDocument/2006/relationships/worksheet" Target="/xl/worksheets/sheet10.xml" Id="Rfa3ad83c2b614e04" /><Relationship Type="http://schemas.openxmlformats.org/officeDocument/2006/relationships/worksheet" Target="/xl/worksheets/sheet11.xml" Id="Rc36e791c995c4840" /><Relationship Type="http://schemas.openxmlformats.org/officeDocument/2006/relationships/worksheet" Target="/xl/worksheets/sheet12.xml" Id="Ra93048a633f24a18" /><Relationship Type="http://schemas.openxmlformats.org/officeDocument/2006/relationships/worksheet" Target="/xl/worksheets/sheet13.xml" Id="R8c84dce3a3b8461b" /><Relationship Type="http://schemas.openxmlformats.org/officeDocument/2006/relationships/worksheet" Target="/xl/worksheets/sheet14.xml" Id="Reffab08d533b40eb" /><Relationship Type="http://schemas.openxmlformats.org/officeDocument/2006/relationships/worksheet" Target="/xl/worksheets/sheet15.xml" Id="R142320d016ac49ac" /><Relationship Type="http://schemas.openxmlformats.org/officeDocument/2006/relationships/worksheet" Target="/xl/worksheets/sheet16.xml" Id="Re468fe17f1c0492f" /><Relationship Type="http://schemas.openxmlformats.org/officeDocument/2006/relationships/worksheet" Target="/xl/worksheets/sheet17.xml" Id="R2e0689aeb3864a0e" /><Relationship Type="http://schemas.openxmlformats.org/officeDocument/2006/relationships/worksheet" Target="/xl/worksheets/sheet18.xml" Id="Reea7fa8fff934641" /><Relationship Type="http://schemas.openxmlformats.org/officeDocument/2006/relationships/worksheet" Target="/xl/worksheets/sheet19.xml" Id="Rc1ebc3018305400f" /><Relationship Type="http://schemas.openxmlformats.org/officeDocument/2006/relationships/worksheet" Target="/xl/worksheets/sheet20.xml" Id="Rfb08cd853fd24c52" /><Relationship Type="http://schemas.openxmlformats.org/officeDocument/2006/relationships/worksheet" Target="/xl/worksheets/sheet21.xml" Id="Rd393a0346e54417d" /><Relationship Type="http://schemas.openxmlformats.org/officeDocument/2006/relationships/worksheet" Target="/xl/worksheets/sheet22.xml" Id="Rb0827921fd7541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721e87e4f843f8" /><Relationship Type="http://schemas.openxmlformats.org/officeDocument/2006/relationships/chart" Target="/xl/drawings/charts/chart2.xml" Id="R0bdde50cf4b6478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Blade DR</c:v>
          </c:tx>
          <c:cat>
            <c:strRef>
              <c:f>'Wind_Curve_Data'!$A$13:$A$32</c:f>
              <c:strCache>
                <c:ptCount val="0"/>
              </c:strCache>
            </c:strRef>
          </c:cat>
          <c:val>
            <c:numRef>
              <c:f>'Wind_Curve_Data'!$D$13:$D$32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Tower DR</c:v>
          </c:tx>
          <c:cat>
            <c:strRef>
              <c:f>'Wind_Curve_Data'!$A$13:$A$32</c:f>
              <c:strCache>
                <c:ptCount val="0"/>
              </c:strCache>
            </c:strRef>
          </c:cat>
          <c:val>
            <c:numRef>
              <c:f>'Wind_Curve_Data'!$E$13:$E$32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Nacelle DR</c:v>
          </c:tx>
          <c:cat>
            <c:strRef>
              <c:f>'Wind_Curve_Data'!$A$13:$A$32</c:f>
              <c:strCache>
                <c:ptCount val="0"/>
              </c:strCache>
            </c:strRef>
          </c:cat>
          <c:val>
            <c:numRef>
              <c:f>'Wind_Curve_Data'!$F$13:$F$32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Foundation DR</c:v>
          </c:tx>
          <c:cat>
            <c:strRef>
              <c:f>'Wind_Curve_Data'!$A$13:$A$32</c:f>
              <c:strCache>
                <c:ptCount val="0"/>
              </c:strCache>
            </c:strRef>
          </c:cat>
          <c:val>
            <c:numRef>
              <c:f>'Wind_Curve_Data'!$G$13:$G$32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Hub-height 3-sec gust (m/s)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Damage ratio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Straight-line %TIV (100% exposure)</c:v>
          </c:tx>
          <c:cat>
            <c:strRef>
              <c:f>'Wind_Curve_Data'!$A$13:$A$32</c:f>
              <c:strCache>
                <c:ptCount val="0"/>
              </c:strCache>
            </c:strRef>
          </c:cat>
          <c:val>
            <c:numRef>
              <c:f>'Wind_Curve_Data'!$I$13:$I$32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Tornado direct-hit %TIV (10% exposure)</c:v>
          </c:tx>
          <c:cat>
            <c:strRef>
              <c:f>'Wind_Curve_Data'!$A$13:$A$32</c:f>
              <c:strCache>
                <c:ptCount val="0"/>
              </c:strCache>
            </c:strRef>
          </c:cat>
          <c:val>
            <c:numRef>
              <c:f>'Wind_Curve_Data'!$O$13:$O$32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Hub-height 3-sec gust or EF proxy bridge speed (m/s)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% TIV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721e87e4f843f8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dde50cf4b6478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4d1538bf2c54a4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Wind/Tornado × Wind Farm v1.0 Derived Damage-Curve Workbook</x:v>
      </x:c>
      <x:c r="B1" s="11"/>
    </x:row>
    <x:row r="3">
      <x:c r="A3" s="6" t="str">
        <x:v>Purpose</x:v>
      </x:c>
      <x:c r="B3" t="str">
        <x:v>Derived v1.0 damage-code package for severe wind / tornado acting on land-based wind farms.</x:v>
      </x:c>
    </x:row>
    <x:row r="4">
      <x:c r="A4" s="6" t="str">
        <x:v>Core rule</x:v>
      </x:c>
      <x:c r="B4" t="str">
        <x:v>This is not wind speed → whole wind farm DR. It is failure-unit curves linked to turbine subsystems and value buckets.</x:v>
      </x:c>
    </x:row>
    <x:row r="5">
      <x:c r="A5" s="6" t="str">
        <x:v>Primary x-axis</x:v>
      </x:c>
      <x:c r="B5" t="str">
        <x:v>Hub-height 3-second gust for straight-line/severe wind; EF-scale 3-second gust proxy is tracked separately for tornado/direct-hit pathway.</x:v>
      </x:c>
    </x:row>
    <x:row r="6">
      <x:c r="A6" s="6" t="str">
        <x:v>Curve form</x:v>
      </x:c>
      <x:c r="B6" t="str">
        <x:v>Design-normalized logistic fragility-style curves for blade, tower, nacelle, and foundation; derived from IEC design anchors plus public case evidence.</x:v>
      </x:c>
    </x:row>
    <x:row r="7">
      <x:c r="A7" s="6" t="str">
        <x:v>Default class</x:v>
      </x:c>
      <x:c r="B7" t="str">
        <x:v>IEC Class II / medium design class; users can switch to Class I or III via selector.</x:v>
      </x:c>
    </x:row>
    <x:row r="8">
      <x:c r="A8" s="6" t="str">
        <x:v>Tornado handling</x:v>
      </x:c>
      <x:c r="B8" t="str">
        <x:v>Tornado-direct-hit variant applies a D50 shift to reflect tornado turbulence/debris/directionality and uses exposed turbine fraction; EF-scale remains a proxy, not a measured turbine-level wind input.</x:v>
      </x:c>
    </x:row>
    <x:row r="9">
      <x:c r="A9" s="6" t="str">
        <x:v>Default loss aggregate</x:v>
      </x:c>
      <x:c r="B9" t="str">
        <x:v>Blade + tower + nacelle + foundation; power electronics acceleration is a secondary/open-seam pathway.</x:v>
      </x:c>
    </x:row>
    <x:row r="10">
      <x:c r="A10" s="6" t="str">
        <x:v>Downstream role</x:v>
      </x:c>
      <x:c r="B10" t="str">
        <x:v>Outputs damage ratios. Hazard frequency/EAL/PML are downstream and not embedded here.</x:v>
      </x:c>
    </x:row>
    <x:row r="11">
      <x:c r="A11" s="6" t="str">
        <x:v>Version</x:v>
      </x:c>
      <x:c r="B11" t="str">
        <x:v>v1.0 derived curve cell inside library release v2.0</x:v>
      </x:c>
    </x:row>
    <x:row r="12">
      <x:c r="A12" s="6" t="str">
        <x:v>Caveat</x:v>
      </x:c>
      <x:c r="B12" t="str">
        <x:v>Public-source-derived, not private claims-calibrated. Parameters are auditable assumptions anchored to public design/case evidence.</x:v>
      </x:c>
    </x:row>
    <x:row r="13">
      <x:c r="A13" s="6" t="str">
        <x:v>Start here</x:v>
      </x:c>
      <x:c r="B13" t="str">
        <x:v>Review Dashboard, Wind_Coverage, Wind_Base_Curve_Fit, Evidence_Params, and Damage_Code_Interface.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0" t="str">
        <x:v>Wind/Tornado × Wind Farm v1.0 Dashboard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</x:row>
    <x:row r="3">
      <x:c r="A3" s="18" t="str">
        <x:v>Selected asset defaults</x:v>
      </x:c>
      <x:c r="B3" s="18" t="str"/>
      <x:c r="C3" s="18" t="str"/>
      <x:c r="D3" s="18" t="str"/>
    </x:row>
    <x:row r="4">
      <x:c r="A4" s="6" t="str">
        <x:v>Wind class</x:v>
      </x:c>
      <x:c r="B4" t="str">
        <x:v>IEC II</x:v>
      </x:c>
      <x:c r="C4" s="6" t="str">
        <x:v>Vref m/s</x:v>
      </x:c>
      <x:c r="D4" t="n">
        <x:v>42.5</x:v>
      </x:c>
    </x:row>
    <x:row r="5">
      <x:c r="A5" s="6" t="str">
        <x:v>Ve50 3-sec gust m/s</x:v>
      </x:c>
      <x:c r="B5" t="n">
        <x:v>59.5</x:v>
      </x:c>
      <x:c r="C5" s="6" t="str">
        <x:v>Ve50 mph</x:v>
      </x:c>
      <x:c r="D5" t="n">
        <x:v>133.1</x:v>
      </x:c>
    </x:row>
    <x:row r="6">
      <x:c r="A6" s="6" t="str">
        <x:v>Physical base $</x:v>
      </x:c>
      <x:c r="B6" s="24" t="n">
        <x:v>324600000</x:v>
      </x:c>
      <x:c r="C6" s="25" t="str">
        <x:v>Installed capex/TIV $</x:v>
      </x:c>
      <x:c r="D6" s="24" t="n">
        <x:v>393600000</x:v>
      </x:c>
    </x:row>
    <x:row r="7">
      <x:c r="A7" s="6" t="str">
        <x:v>Straight-line exposure fraction</x:v>
      </x:c>
      <x:c r="B7" s="28" t="n">
        <x:v>1</x:v>
      </x:c>
      <x:c r="C7" s="6" t="str">
        <x:v>Tornado core exposure fraction</x:v>
      </x:c>
      <x:c r="D7" s="28" t="n">
        <x:v>0.1</x:v>
      </x:c>
    </x:row>
    <x:row r="8">
      <x:c r="A8" s="6" t="str">
        <x:v>Default curve variant</x:v>
      </x:c>
      <x:c r="B8" t="str">
        <x:v>Straight-line Class II</x:v>
      </x:c>
      <x:c r="C8" s="6" t="str">
        <x:v>Tornado variant</x:v>
      </x:c>
      <x:c r="D8" t="str">
        <x:v>Direct-hit shifted</x:v>
      </x:c>
    </x:row>
    <x:row r="9">
      <x:c r="A9" s="6" t="str">
        <x:v>Default loss includes</x:v>
      </x:c>
      <x:c r="B9" t="str">
        <x:v>blade + tower + nacelle + foundation</x:v>
      </x:c>
      <x:c r="C9" s="6" t="str"/>
      <x:c r="D9" t="str"/>
    </x:row>
    <x:row r="10">
      <x:c r="A10" s="6" t="str">
        <x:v>Formula</x:v>
      </x:c>
      <x:c r="B10" t="str">
        <x:v>DR = max_DR / (1 + EXP(-k_ratio * (V/Ve50 - D50_ratio)))</x:v>
      </x:c>
      <x:c r="C10" s="6" t="str"/>
      <x:c r="D10" t="str"/>
    </x:row>
  </x:sheetData>
  <x:pageMargins left="0.7" right="0.7" top="0.75" bottom="0.75" header="0.3" footer="0.3"/>
  <x:drawing xmlns:r="http://schemas.openxmlformats.org/officeDocument/2006/relationships" r:id="Rf4d1538bf2c54a45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32" hidden="0" customWidth="1"/>
    <x:col min="4" max="4" width="24" hidden="0" customWidth="1"/>
    <x:col min="5" max="5" width="44" hidden="0" customWidth="1"/>
    <x:col min="6" max="6" width="20" hidden="0" customWidth="1"/>
    <x:col min="7" max="7" width="70" hidden="0" customWidth="1"/>
  </x:cols>
  <x:sheetData>
    <x:row r="1">
      <x:c r="A1" s="2" t="str">
        <x:v>Coverage role map: wind/tornado × wind</x:v>
      </x:c>
    </x:row>
    <x:row r="3">
      <x:c r="A3" s="18" t="str">
        <x:v>coverage_role</x:v>
      </x:c>
      <x:c r="B3" s="18" t="str">
        <x:v>subsystem</x:v>
      </x:c>
      <x:c r="C3" s="18" t="str">
        <x:v>component</x:v>
      </x:c>
      <x:c r="D3" s="18" t="str">
        <x:v>curve_id</x:v>
      </x:c>
      <x:c r="E3" s="18" t="str">
        <x:v>failure_or_modifier</x:v>
      </x:c>
      <x:c r="F3" s="18" t="str">
        <x:v>curve_in_v1</x:v>
      </x:c>
      <x:c r="G3" s="18" t="str">
        <x:v>reason</x:v>
      </x:c>
    </x:row>
    <x:row r="4">
      <x:c r="A4" s="11" t="str">
        <x:v>Primary nonzero</x:v>
      </x:c>
      <x:c r="B4" s="11" t="str">
        <x:v>ROTOR_ASSEMBLY</x:v>
      </x:c>
      <x:c r="C4" s="11" t="str">
        <x:v>BLADE</x:v>
      </x:c>
      <x:c r="D4" s="11" t="str">
        <x:v>WT_BLADE_STRUCT</x:v>
      </x:c>
      <x:c r="E4" s="11" t="str">
        <x:v>Blade structural overload / debris impact / blade strike</x:v>
      </x:c>
      <x:c r="F4" s="11" t="str">
        <x:v>yes</x:v>
      </x:c>
      <x:c r="G4" s="11" t="str">
        <x:v>Blade is directly loaded by extreme winds and tornado flow/debris; value material.</x:v>
      </x:c>
    </x:row>
    <x:row r="5">
      <x:c r="A5" s="11" t="str">
        <x:v>Primary nonzero</x:v>
      </x:c>
      <x:c r="B5" s="11" t="str">
        <x:v>TOWER</x:v>
      </x:c>
      <x:c r="C5" s="11" t="str">
        <x:v>TOWER_SECTION</x:v>
      </x:c>
      <x:c r="D5" s="11" t="str">
        <x:v>WT_TOWER_STRUCT</x:v>
      </x:c>
      <x:c r="E5" s="11" t="str">
        <x:v>Tower buckling, shell instability, collapse</x:v>
      </x:c>
      <x:c r="F5" s="11" t="str">
        <x:v>yes</x:v>
      </x:c>
      <x:c r="G5" s="11" t="str">
        <x:v>Tower is a structural support failure-unit; catastrophic outcomes are observed in direct tornado hit cases.</x:v>
      </x:c>
    </x:row>
    <x:row r="6">
      <x:c r="A6" s="11" t="str">
        <x:v>Primary nonzero / dependency-sensitive</x:v>
      </x:c>
      <x:c r="B6" s="11" t="str">
        <x:v>NACELLE</x:v>
      </x:c>
      <x:c r="C6" s="11" t="str">
        <x:v>GEARBOX; GENERATOR_INTERNAL; YAW_SYSTEM</x:v>
      </x:c>
      <x:c r="D6" s="11" t="str">
        <x:v>WT_NACELLE_CONSEQ</x:v>
      </x:c>
      <x:c r="E6" s="11" t="str">
        <x:v>Nacelle/drivetrain housing damage, often coupled with blade/tower failure</x:v>
      </x:c>
      <x:c r="F6" s="11" t="str">
        <x:v>yes</x:v>
      </x:c>
      <x:c r="G6" s="11" t="str">
        <x:v>Nacelle can be directly loaded and also damaged consequentially after blade/tower failures.</x:v>
      </x:c>
    </x:row>
    <x:row r="7">
      <x:c r="A7" s="11" t="str">
        <x:v>Conditional primary</x:v>
      </x:c>
      <x:c r="B7" s="11" t="str">
        <x:v>FOUNDATION</x:v>
      </x:c>
      <x:c r="C7" s="11" t="str">
        <x:v>FOUNDATION_BASE</x:v>
      </x:c>
      <x:c r="D7" s="11" t="str">
        <x:v>WT_FOUNDATION_OT</x:v>
      </x:c>
      <x:c r="E7" s="11" t="str">
        <x:v>Overturning/anchor/support failure</x:v>
      </x:c>
      <x:c r="F7" s="11" t="str">
        <x:v>yes, conditional</x:v>
      </x:c>
      <x:c r="G7" s="11" t="str">
        <x:v>Foundation damage is not always present when turbine superstructure fails; kept as a separate conditional curve.</x:v>
      </x:c>
    </x:row>
    <x:row r="8">
      <x:c r="A8" s="11" t="str">
        <x:v>Conditioner-only state</x:v>
      </x:c>
      <x:c r="B8" s="11" t="str">
        <x:v>PITCH_SYSTEM</x:v>
      </x:c>
      <x:c r="C8" s="11" t="str">
        <x:v>PITCH_DRIVE</x:v>
      </x:c>
      <x:c r="D8" s="11" t="str">
        <x:v>none</x:v>
      </x:c>
      <x:c r="E8" s="11" t="str">
        <x:v>Feathering state modifies blade/tower loads</x:v>
      </x:c>
      <x:c r="F8" s="11" t="str">
        <x:v>no direct curve v1.0</x:v>
      </x:c>
      <x:c r="G8" s="11" t="str">
        <x:v>Feathering changes vulnerability but is not counted as damaged value bucket unless failed physically.</x:v>
      </x:c>
    </x:row>
    <x:row r="9">
      <x:c r="A9" s="11" t="str">
        <x:v>Conditioner-only state</x:v>
      </x:c>
      <x:c r="B9" s="11" t="str">
        <x:v>BRAKE_SYSTEM</x:v>
      </x:c>
      <x:c r="C9" s="11" t="str">
        <x:v>MECHANICAL_BRAKE</x:v>
      </x:c>
      <x:c r="D9" s="11" t="str">
        <x:v>none</x:v>
      </x:c>
      <x:c r="E9" s="11" t="str">
        <x:v>Parked/emergency stop state modifies loads/overspeed risk</x:v>
      </x:c>
      <x:c r="F9" s="11" t="str">
        <x:v>no direct curve v1.0</x:v>
      </x:c>
      <x:c r="G9" s="11" t="str">
        <x:v>Braking state modifies vulnerability; mechanical brake physical damage is not a default severe-wind loss curve.</x:v>
      </x:c>
    </x:row>
    <x:row r="10">
      <x:c r="A10" s="11" t="str">
        <x:v>Conditioner-only state</x:v>
      </x:c>
      <x:c r="B10" s="11" t="str">
        <x:v>NACELLE</x:v>
      </x:c>
      <x:c r="C10" s="11" t="str">
        <x:v>YAW_SYSTEM</x:v>
      </x:c>
      <x:c r="D10" s="11" t="str">
        <x:v>none</x:v>
      </x:c>
      <x:c r="E10" s="11" t="str">
        <x:v>Yaw alignment / yaw error modifies lateral loading</x:v>
      </x:c>
      <x:c r="F10" s="11" t="str">
        <x:v>no direct curve v1.0</x:v>
      </x:c>
      <x:c r="G10" s="11" t="str">
        <x:v>Yaw state affects structural loads; yaw motor damage remains secondary.</x:v>
      </x:c>
    </x:row>
    <x:row r="11">
      <x:c r="A11" s="11" t="str">
        <x:v>Secondary / conditional</x:v>
      </x:c>
      <x:c r="B11" s="11" t="str">
        <x:v>POWER_ELECTRONICS</x:v>
      </x:c>
      <x:c r="C11" s="11" t="str">
        <x:v>POWER_CONVERTER</x:v>
      </x:c>
      <x:c r="D11" s="11" t="str">
        <x:v>WT_POWER_ELEC_ACCEL</x:v>
      </x:c>
      <x:c r="E11" s="11" t="str">
        <x:v>Acceleration-sensitive converter/control electronics</x:v>
      </x:c>
      <x:c r="F11" s="11" t="str">
        <x:v>placeholder / optional</x:v>
      </x:c>
      <x:c r="G11" s="11" t="str">
        <x:v>Research supports acceleration-sensitive subcomponents, but v1.0 does not convert wind speed directly to physical converter loss by default.</x:v>
      </x:c>
    </x:row>
    <x:row r="12">
      <x:c r="A12" s="11" t="str">
        <x:v>Secondary / conditional</x:v>
      </x:c>
      <x:c r="B12" s="11" t="str">
        <x:v>SCADA</x:v>
      </x:c>
      <x:c r="C12" s="11" t="str">
        <x:v>MONITORING_SYSTEM</x:v>
      </x:c>
      <x:c r="D12" s="11" t="str">
        <x:v>none</x:v>
      </x:c>
      <x:c r="E12" s="11" t="str">
        <x:v>Control/communication damage or outage</x:v>
      </x:c>
      <x:c r="F12" s="11" t="str">
        <x:v>not default</x:v>
      </x:c>
      <x:c r="G12" s="11" t="str">
        <x:v>Potential outage/fault pathway; not the default physical-damage curve.</x:v>
      </x:c>
    </x:row>
    <x:row r="13">
      <x:c r="A13" s="11" t="str">
        <x:v>Secondary / conditional</x:v>
      </x:c>
      <x:c r="B13" s="11" t="str">
        <x:v>ELECTRICAL_COLLECTION</x:v>
      </x:c>
      <x:c r="C13" s="11" t="str">
        <x:v>CABLE_AC</x:v>
      </x:c>
      <x:c r="D13" s="11" t="str">
        <x:v>none</x:v>
      </x:c>
      <x:c r="E13" s="11" t="str">
        <x:v>Collection damage from debris/padmount/civil failure</x:v>
      </x:c>
      <x:c r="F13" s="11" t="str">
        <x:v>not default</x:v>
      </x:c>
      <x:c r="G13" s="11" t="str">
        <x:v>Usually depends on footprint/debris/civil damage.</x:v>
      </x:c>
    </x:row>
    <x:row r="14">
      <x:c r="A14" s="11" t="str">
        <x:v>Secondary / conditional</x:v>
      </x:c>
      <x:c r="B14" s="11" t="str">
        <x:v>SUBSTATION</x:v>
      </x:c>
      <x:c r="C14" s="11" t="str">
        <x:v>TRANSFORMER_MAIN; SWITCHGEAR</x:v>
      </x:c>
      <x:c r="D14" s="11" t="str">
        <x:v>none</x:v>
      </x:c>
      <x:c r="E14" s="11" t="str">
        <x:v>Shared plant damage if footprint includes substation</x:v>
      </x:c>
      <x:c r="F14" s="11" t="str">
        <x:v>not default</x:v>
      </x:c>
      <x:c r="G14" s="11" t="str">
        <x:v>Separate location/footprint exposure; not automatically tied to turbine structural damage.</x:v>
      </x:c>
    </x:row>
    <x:row r="15">
      <x:c r="A15" s="11" t="str">
        <x:v>Exposure / protection modifier</x:v>
      </x:c>
      <x:c r="B15" s="11" t="str">
        <x:v>wind farm footprint</x:v>
      </x:c>
      <x:c r="C15" s="11" t="str">
        <x:v>exposed turbine count</x:v>
      </x:c>
      <x:c r="D15" s="11" t="str">
        <x:v>none</x:v>
      </x:c>
      <x:c r="E15" s="11" t="str">
        <x:v>Tornado/severe-wind swath exposure fraction</x:v>
      </x:c>
      <x:c r="F15" s="11" t="str">
        <x:v>modifier</x:v>
      </x:c>
      <x:c r="G15" s="11" t="str">
        <x:v>Scales affected turbine count/value; does not change per-turbine fragility.</x:v>
      </x:c>
    </x:row>
    <x:row r="16">
      <x:c r="A16" s="11" t="str">
        <x:v>Exposure / protection modifier</x:v>
      </x:c>
      <x:c r="B16" s="11" t="str">
        <x:v>design class</x:v>
      </x:c>
      <x:c r="C16" s="11" t="str">
        <x:v>IEC class / Vref</x:v>
      </x:c>
      <x:c r="D16" s="11" t="str">
        <x:v>none</x:v>
      </x:c>
      <x:c r="E16" s="11" t="str">
        <x:v>Class selector normalizes speed against design capacity</x:v>
      </x:c>
      <x:c r="F16" s="11" t="str">
        <x:v>selector</x:v>
      </x:c>
      <x:c r="G16" s="11" t="str">
        <x:v>IEC class changes where curves sit on absolute speed axis.</x:v>
      </x:c>
    </x:row>
    <x:row r="17">
      <x:c r="A17" s="11" t="str">
        <x:v>DR≈0 reviewed bucket</x:v>
      </x:c>
      <x:c r="B17" s="11" t="str">
        <x:v>all components</x:v>
      </x:c>
      <x:c r="C17" s="11" t="str">
        <x:v>outside swath or below threshold</x:v>
      </x:c>
      <x:c r="D17" s="11" t="str">
        <x:v>none</x:v>
      </x:c>
      <x:c r="E17" s="11" t="str">
        <x:v>Turbines/components outside damaging footprint</x:v>
      </x:c>
      <x:c r="F17" s="11" t="str">
        <x:v>no</x:v>
      </x:c>
      <x:c r="G17" s="11" t="str">
        <x:v>Reviewed and intentionally set to near-zero for direct event damage in v1.0.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18" hidden="0" customWidth="1"/>
    <x:col min="4" max="4" width="36" hidden="0" customWidth="1"/>
    <x:col min="5" max="5" width="26" hidden="0" customWidth="1"/>
    <x:col min="6" max="6" width="80" hidden="0" customWidth="1"/>
  </x:cols>
  <x:sheetData>
    <x:row r="1">
      <x:c r="A1" s="2" t="str">
        <x:v>X-axis decision and rejected alternatives</x:v>
      </x:c>
    </x:row>
    <x:row r="3">
      <x:c r="A3" s="18" t="str">
        <x:v>axis_id</x:v>
      </x:c>
      <x:c r="B3" s="18" t="str">
        <x:v>axis_name</x:v>
      </x:c>
      <x:c r="C3" s="18" t="str">
        <x:v>unit</x:v>
      </x:c>
      <x:c r="D3" s="18" t="str">
        <x:v>pathway</x:v>
      </x:c>
      <x:c r="E3" s="18" t="str">
        <x:v>v1_treatment</x:v>
      </x:c>
      <x:c r="F3" s="18" t="str">
        <x:v>rationale</x:v>
      </x:c>
    </x:row>
    <x:row r="4">
      <x:c r="A4" s="11" t="str">
        <x:v>X_STRAIGHT_HUB_3S_GUST</x:v>
      </x:c>
      <x:c r="B4" s="11" t="str">
        <x:v>Hub-height 3-second gust</x:v>
      </x:c>
      <x:c r="C4" s="11" t="str">
        <x:v>m/s</x:v>
      </x:c>
      <x:c r="D4" s="11" t="str">
        <x:v>Straight-line / synoptic / hurricane severe wind</x:v>
      </x:c>
      <x:c r="E4" s="11" t="str">
        <x:v>Primary v1.0 x-axis</x:v>
      </x:c>
      <x:c r="F4" s="11" t="str">
        <x:v>Matches IEC design gust framing and structural demand at hub height.</x:v>
      </x:c>
    </x:row>
    <x:row r="5">
      <x:c r="A5" s="11" t="str">
        <x:v>X_EF_PROXY_3S_GUST</x:v>
      </x:c>
      <x:c r="B5" s="11" t="str">
        <x:v>EF-scale damage-estimated 3-second gust</x:v>
      </x:c>
      <x:c r="C5" s="11" t="str">
        <x:v>mph and m/s</x:v>
      </x:c>
      <x:c r="D5" s="11" t="str">
        <x:v>Tornado direct-hit proxy</x:v>
      </x:c>
      <x:c r="E5" s="11" t="str">
        <x:v>Bridge only</x:v>
      </x:c>
      <x:c r="F5" s="11" t="str">
        <x:v>EF scale is based on damage indicators and estimates; not direct turbine-level measured wind.</x:v>
      </x:c>
    </x:row>
    <x:row r="6">
      <x:c r="A6" s="11" t="str">
        <x:v>X_SPEED_RATIO_TO_IEC</x:v>
      </x:c>
      <x:c r="B6" s="11" t="str">
        <x:v>V_3s_hub / Ve50_class</x:v>
      </x:c>
      <x:c r="C6" s="11" t="str">
        <x:v>dimensionless</x:v>
      </x:c>
      <x:c r="D6" s="11" t="str">
        <x:v>Design-normalized axis</x:v>
      </x:c>
      <x:c r="E6" s="11" t="str">
        <x:v>Internal fit axis</x:v>
      </x:c>
      <x:c r="F6" s="11" t="str">
        <x:v>Allows Class I/II/III curves to share the same shape but shift with IEC design class.</x:v>
      </x:c>
    </x:row>
    <x:row r="7">
      <x:c r="A7" s="11" t="str">
        <x:v>Rejected: site 10m wind only</x:v>
      </x:c>
      <x:c r="B7" s="11" t="str">
        <x:v>10 m wind speed</x:v>
      </x:c>
      <x:c r="C7" s="11" t="str">
        <x:v>m/s</x:v>
      </x:c>
      <x:c r="D7" s="11" t="str">
        <x:v>Weather station/surface source</x:v>
      </x:c>
      <x:c r="E7" s="11" t="str">
        <x:v>Rejected as native curve axis</x:v>
      </x:c>
      <x:c r="F7" s="11" t="str">
        <x:v>Needs hub-height conversion and does not map directly to turbine structural demand.</x:v>
      </x:c>
    </x:row>
    <x:row r="8">
      <x:c r="A8" s="11" t="str">
        <x:v>Rejected: one wind-farm DR</x:v>
      </x:c>
      <x:c r="B8" s="11" t="str">
        <x:v>Wind speed → whole farm loss</x:v>
      </x:c>
      <x:c r="C8" s="11" t="str">
        <x:v>%TIV</x:v>
      </x:c>
      <x:c r="D8" s="11" t="str">
        <x:v>Asset-level shortcut</x:v>
      </x:c>
      <x:c r="E8" s="11" t="str">
        <x:v>Rejected</x:v>
      </x:c>
      <x:c r="F8" s="11" t="str">
        <x:v>Would mix failure-units, exposure fraction, and value allocation.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4" hidden="0" customWidth="1"/>
    <x:col min="5" max="5" width="48" hidden="0" customWidth="1"/>
    <x:col min="6" max="6" width="26" hidden="0" customWidth="1"/>
    <x:col min="7" max="7" width="28" hidden="0" customWidth="1"/>
    <x:col min="8" max="8" width="32" hidden="0" customWidth="1"/>
    <x:col min="9" max="9" width="12" hidden="0" customWidth="1"/>
    <x:col min="10" max="10" width="18" hidden="0" customWidth="1"/>
    <x:col min="11" max="11" width="12" hidden="0" customWidth="1"/>
    <x:col min="12" max="12" width="18" hidden="0" customWidth="1"/>
    <x:col min="13" max="13" width="46" hidden="0" customWidth="1"/>
    <x:col min="14" max="14" width="48" hidden="0" customWidth="1"/>
    <x:col min="15" max="15" width="80" hidden="0" customWidth="1"/>
  </x:cols>
  <x:sheetData>
    <x:row r="1">
      <x:c r="A1" s="2" t="str">
        <x:v>Curve records: derived v1.0</x:v>
      </x:c>
    </x:row>
    <x:row r="3">
      <x:c r="A3" s="18" t="str">
        <x:v>curve_id</x:v>
      </x:c>
      <x:c r="B3" s="18" t="str">
        <x:v>cell_id</x:v>
      </x:c>
      <x:c r="C3" s="18" t="str">
        <x:v>subsystem</x:v>
      </x:c>
      <x:c r="D3" s="18" t="str">
        <x:v>component</x:v>
      </x:c>
      <x:c r="E3" s="18" t="str">
        <x:v>failure_mode</x:v>
      </x:c>
      <x:c r="F3" s="18" t="str">
        <x:v>coverage_role</x:v>
      </x:c>
      <x:c r="G3" s="18" t="str">
        <x:v>x_axis_id</x:v>
      </x:c>
      <x:c r="H3" s="18" t="str">
        <x:v>curve_form</x:v>
      </x:c>
      <x:c r="I3" s="18" t="str">
        <x:v>max_dr</x:v>
      </x:c>
      <x:c r="J3" s="18" t="str">
        <x:v>d50_ratio_straight</x:v>
      </x:c>
      <x:c r="K3" s="18" t="str">
        <x:v>k_ratio</x:v>
      </x:c>
      <x:c r="L3" s="18" t="str">
        <x:v>tornado_d50_shift</x:v>
      </x:c>
      <x:c r="M3" s="18" t="str">
        <x:v>selectors_conditioners</x:v>
      </x:c>
      <x:c r="N3" s="18" t="str">
        <x:v>source_ids</x:v>
      </x:c>
      <x:c r="O3" s="18" t="str">
        <x:v>notes</x:v>
      </x:c>
    </x:row>
    <x:row r="4">
      <x:c r="A4" s="11" t="str">
        <x:v>WT_BLADE_STRUCT</x:v>
      </x:c>
      <x:c r="B4" s="11" t="str">
        <x:v>WIND_TORNADO_WIND</x:v>
      </x:c>
      <x:c r="C4" s="11" t="str">
        <x:v>ROTOR_ASSEMBLY</x:v>
      </x:c>
      <x:c r="D4" s="11" t="str">
        <x:v>BLADE</x:v>
      </x:c>
      <x:c r="E4" s="11" t="str">
        <x:v>Blade structural overload / debris / blade strike</x:v>
      </x:c>
      <x:c r="F4" s="11" t="str">
        <x:v>Primary nonzero</x:v>
      </x:c>
      <x:c r="G4" s="11" t="str">
        <x:v>X_SPEED_RATIO_TO_IEC</x:v>
      </x:c>
      <x:c r="H4" s="11" t="str">
        <x:v>bounded_logistic_on_speed_ratio</x:v>
      </x:c>
      <x:c r="I4" s="11" t="n">
        <x:v>1</x:v>
      </x:c>
      <x:c r="J4" s="11" t="n">
        <x:v>1.38</x:v>
      </x:c>
      <x:c r="K4" s="11" t="n">
        <x:v>12</x:v>
      </x:c>
      <x:c r="L4" s="11" t="n">
        <x:v>-0.1</x:v>
      </x:c>
      <x:c r="M4" s="11" t="str">
        <x:v>Class I/II/III selector; tornado direct-hit variant shifts D50</x:v>
      </x:c>
      <x:c r="N4" s="11" t="str">
        <x:v>SRC_DOE_WIND_STORMS; SRC_DTU_IEC; SRC_NASA_GREENFIELD; SRC_NIST_FRAGILITY</x:v>
      </x:c>
      <x:c r="O4" s="11" t="str">
        <x:v>Blade is the first-order rotor failure-unit; public data does not give universal blade fragility, so v1.0 fits a design-normalized logistic anchored to IEC design speeds and EF4 case evidence.</x:v>
      </x:c>
    </x:row>
    <x:row r="5">
      <x:c r="A5" s="11" t="str">
        <x:v>WT_TOWER_STRUCT</x:v>
      </x:c>
      <x:c r="B5" s="11" t="str">
        <x:v>WIND_TORNADO_WIND</x:v>
      </x:c>
      <x:c r="C5" s="11" t="str">
        <x:v>TOWER</x:v>
      </x:c>
      <x:c r="D5" s="11" t="str">
        <x:v>TOWER_SECTION</x:v>
      </x:c>
      <x:c r="E5" s="11" t="str">
        <x:v>Tower buckling / local shell instability / collapse</x:v>
      </x:c>
      <x:c r="F5" s="11" t="str">
        <x:v>Primary nonzero</x:v>
      </x:c>
      <x:c r="G5" s="11" t="str">
        <x:v>X_SPEED_RATIO_TO_IEC</x:v>
      </x:c>
      <x:c r="H5" s="11" t="str">
        <x:v>bounded_logistic_on_speed_ratio</x:v>
      </x:c>
      <x:c r="I5" s="11" t="n">
        <x:v>1</x:v>
      </x:c>
      <x:c r="J5" s="11" t="n">
        <x:v>1.48</x:v>
      </x:c>
      <x:c r="K5" s="11" t="n">
        <x:v>11</x:v>
      </x:c>
      <x:c r="L5" s="11" t="n">
        <x:v>-0.12</x:v>
      </x:c>
      <x:c r="M5" s="11" t="str">
        <x:v>Class I/II/III selector; tornado direct-hit variant shifts D50</x:v>
      </x:c>
      <x:c r="N5" s="11" t="str">
        <x:v>SRC_DOE_WIND_STORMS; SRC_DTU_IEC; SRC_NASA_GREENFIELD; SRC_NIST_FRAGILITY</x:v>
      </x:c>
      <x:c r="O5" s="11" t="str">
        <x:v>Tower curve is slower-rising than blade; EF4 direct-hit case evidence supports catastrophic tail but not a complete empirical tower curve.</x:v>
      </x:c>
    </x:row>
    <x:row r="6">
      <x:c r="A6" s="11" t="str">
        <x:v>WT_NACELLE_CONSEQ</x:v>
      </x:c>
      <x:c r="B6" s="11" t="str">
        <x:v>WIND_TORNADO_WIND</x:v>
      </x:c>
      <x:c r="C6" s="11" t="str">
        <x:v>NACELLE</x:v>
      </x:c>
      <x:c r="D6" s="11" t="str">
        <x:v>GEARBOX; GENERATOR_INTERNAL; YAW_SYSTEM</x:v>
      </x:c>
      <x:c r="E6" s="11" t="str">
        <x:v>Nacelle/drivetrain housing damage, often direct or consequential</x:v>
      </x:c>
      <x:c r="F6" s="11" t="str">
        <x:v>Primary nonzero / dependency-sensitive</x:v>
      </x:c>
      <x:c r="G6" s="11" t="str">
        <x:v>X_SPEED_RATIO_TO_IEC</x:v>
      </x:c>
      <x:c r="H6" s="11" t="str">
        <x:v>bounded_logistic_on_speed_ratio</x:v>
      </x:c>
      <x:c r="I6" s="11" t="n">
        <x:v>0.85</x:v>
      </x:c>
      <x:c r="J6" s="11" t="n">
        <x:v>1.44</x:v>
      </x:c>
      <x:c r="K6" s="11" t="n">
        <x:v>10</x:v>
      </x:c>
      <x:c r="L6" s="11" t="n">
        <x:v>-0.1</x:v>
      </x:c>
      <x:c r="M6" s="11" t="str">
        <x:v>Class I/II/III selector; tornado direct-hit variant shifts D50</x:v>
      </x:c>
      <x:c r="N6" s="11" t="str">
        <x:v>SRC_DOE_WIND_STORMS; SRC_DTU_IEC; SRC_NASA_GREENFIELD; SRC_NIST_FRAGILITY</x:v>
      </x:c>
      <x:c r="O6" s="11" t="str">
        <x:v>Nacelle damage is partly dependent on blade/tower failure; v1.0 stores an independent proxy plus dependency open seam.</x:v>
      </x:c>
    </x:row>
    <x:row r="7">
      <x:c r="A7" s="11" t="str">
        <x:v>WT_FOUNDATION_OT</x:v>
      </x:c>
      <x:c r="B7" s="11" t="str">
        <x:v>WIND_TORNADO_WIND</x:v>
      </x:c>
      <x:c r="C7" s="11" t="str">
        <x:v>FOUNDATION</x:v>
      </x:c>
      <x:c r="D7" s="11" t="str">
        <x:v>FOUNDATION_BASE</x:v>
      </x:c>
      <x:c r="E7" s="11" t="str">
        <x:v>Overturning / anchor / support failure</x:v>
      </x:c>
      <x:c r="F7" s="11" t="str">
        <x:v>Conditional primary</x:v>
      </x:c>
      <x:c r="G7" s="11" t="str">
        <x:v>X_SPEED_RATIO_TO_IEC</x:v>
      </x:c>
      <x:c r="H7" s="11" t="str">
        <x:v>bounded_logistic_on_speed_ratio</x:v>
      </x:c>
      <x:c r="I7" s="11" t="n">
        <x:v>0.65</x:v>
      </x:c>
      <x:c r="J7" s="11" t="n">
        <x:v>1.62</x:v>
      </x:c>
      <x:c r="K7" s="11" t="n">
        <x:v>9</x:v>
      </x:c>
      <x:c r="L7" s="11" t="n">
        <x:v>-0.08</x:v>
      </x:c>
      <x:c r="M7" s="11" t="str">
        <x:v>Class I/II/III selector; tornado direct-hit variant shifts D50</x:v>
      </x:c>
      <x:c r="N7" s="11" t="str">
        <x:v>SRC_DTU_IEC; SRC_NIST_FRAGILITY</x:v>
      </x:c>
      <x:c r="O7" s="11" t="str">
        <x:v>Foundation damage is lower-probability than blade/tower but can occur with overturning/support failure; v1.0 marks as conditional because foundation often survives tower/blade damage.</x:v>
      </x:c>
    </x:row>
    <x:row r="8">
      <x:c r="A8" s="11" t="str">
        <x:v>WT_POWER_ELEC_ACCEL</x:v>
      </x:c>
      <x:c r="B8" s="11" t="str">
        <x:v>WIND_TORNADO_WIND</x:v>
      </x:c>
      <x:c r="C8" s="11" t="str">
        <x:v>POWER_ELECTRONICS</x:v>
      </x:c>
      <x:c r="D8" s="11" t="str">
        <x:v>POWER_CONVERTER</x:v>
      </x:c>
      <x:c r="E8" s="11" t="str">
        <x:v>Acceleration-sensitive converter/electrical controls</x:v>
      </x:c>
      <x:c r="F8" s="11" t="str">
        <x:v>Secondary / conditional</x:v>
      </x:c>
      <x:c r="G8" s="11" t="str">
        <x:v>X_SPEED_RATIO_TO_IEC</x:v>
      </x:c>
      <x:c r="H8" s="11" t="str">
        <x:v>bounded_logistic_on_speed_ratio</x:v>
      </x:c>
      <x:c r="I8" s="11" t="n">
        <x:v>0.3</x:v>
      </x:c>
      <x:c r="J8" s="11" t="n">
        <x:v>1.2</x:v>
      </x:c>
      <x:c r="K8" s="11" t="n">
        <x:v>8</x:v>
      </x:c>
      <x:c r="L8" s="11" t="n">
        <x:v>-0.05</x:v>
      </x:c>
      <x:c r="M8" s="11" t="str">
        <x:v>Class I/II/III selector; tornado direct-hit variant shifts D50</x:v>
      </x:c>
      <x:c r="N8" s="11" t="str">
        <x:v>SRC_RICE_ACCEL; SRC_DOE_WIND_STORMS</x:v>
      </x:c>
      <x:c r="O8" s="11" t="str">
        <x:v>Not included in default structural loss aggregate; acceleration response is an open seam because wind speed alone is incomplete.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12" hidden="0" customWidth="1"/>
    <x:col min="5" max="5" width="20" hidden="0" customWidth="1"/>
    <x:col min="6" max="6" width="70" hidden="0" customWidth="1"/>
    <x:col min="7" max="7" width="24" hidden="0" customWidth="1"/>
  </x:cols>
  <x:sheetData>
    <x:row r="1">
      <x:c r="A1" s="2" t="str">
        <x:v>Curve parameters</x:v>
      </x:c>
    </x:row>
    <x:row r="3">
      <x:c r="A3" s="18" t="str">
        <x:v>curve_id</x:v>
      </x:c>
      <x:c r="B3" s="18" t="str">
        <x:v>max_dr</x:v>
      </x:c>
      <x:c r="C3" s="18" t="str">
        <x:v>d50_ratio_straight</x:v>
      </x:c>
      <x:c r="D3" s="18" t="str">
        <x:v>k_ratio</x:v>
      </x:c>
      <x:c r="E3" s="18" t="str">
        <x:v>tornado_d50_shift</x:v>
      </x:c>
      <x:c r="F3" s="18" t="str">
        <x:v>formula</x:v>
      </x:c>
      <x:c r="G3" s="18" t="str">
        <x:v>included_in_default_loss</x:v>
      </x:c>
    </x:row>
    <x:row r="4">
      <x:c r="A4" s="11" t="str">
        <x:v>WT_BLADE_STRUCT</x:v>
      </x:c>
      <x:c r="B4" s="11" t="n">
        <x:v>1</x:v>
      </x:c>
      <x:c r="C4" s="11" t="n">
        <x:v>1.38</x:v>
      </x:c>
      <x:c r="D4" s="11" t="n">
        <x:v>12</x:v>
      </x:c>
      <x:c r="E4" s="11" t="n">
        <x:v>-0.1</x:v>
      </x:c>
      <x:c r="F4" s="11" t="str">
        <x:v>DR = max_dr / (1 + EXP(-k_ratio * (V/Ve50 - D50_ratio)))</x:v>
      </x:c>
      <x:c r="G4" s="11" t="str">
        <x:v>yes</x:v>
      </x:c>
    </x:row>
    <x:row r="5">
      <x:c r="A5" s="11" t="str">
        <x:v>WT_TOWER_STRUCT</x:v>
      </x:c>
      <x:c r="B5" s="11" t="n">
        <x:v>1</x:v>
      </x:c>
      <x:c r="C5" s="11" t="n">
        <x:v>1.48</x:v>
      </x:c>
      <x:c r="D5" s="11" t="n">
        <x:v>11</x:v>
      </x:c>
      <x:c r="E5" s="11" t="n">
        <x:v>-0.12</x:v>
      </x:c>
      <x:c r="F5" s="11" t="str">
        <x:v>DR = max_dr / (1 + EXP(-k_ratio * (V/Ve50 - D50_ratio)))</x:v>
      </x:c>
      <x:c r="G5" s="11" t="str">
        <x:v>yes</x:v>
      </x:c>
    </x:row>
    <x:row r="6">
      <x:c r="A6" s="11" t="str">
        <x:v>WT_NACELLE_CONSEQ</x:v>
      </x:c>
      <x:c r="B6" s="11" t="n">
        <x:v>0.85</x:v>
      </x:c>
      <x:c r="C6" s="11" t="n">
        <x:v>1.44</x:v>
      </x:c>
      <x:c r="D6" s="11" t="n">
        <x:v>10</x:v>
      </x:c>
      <x:c r="E6" s="11" t="n">
        <x:v>-0.1</x:v>
      </x:c>
      <x:c r="F6" s="11" t="str">
        <x:v>DR = max_dr / (1 + EXP(-k_ratio * (V/Ve50 - D50_ratio)))</x:v>
      </x:c>
      <x:c r="G6" s="11" t="str">
        <x:v>yes</x:v>
      </x:c>
    </x:row>
    <x:row r="7">
      <x:c r="A7" s="11" t="str">
        <x:v>WT_FOUNDATION_OT</x:v>
      </x:c>
      <x:c r="B7" s="11" t="n">
        <x:v>0.65</x:v>
      </x:c>
      <x:c r="C7" s="11" t="n">
        <x:v>1.62</x:v>
      </x:c>
      <x:c r="D7" s="11" t="n">
        <x:v>9</x:v>
      </x:c>
      <x:c r="E7" s="11" t="n">
        <x:v>-0.08</x:v>
      </x:c>
      <x:c r="F7" s="11" t="str">
        <x:v>DR = max_dr / (1 + EXP(-k_ratio * (V/Ve50 - D50_ratio)))</x:v>
      </x:c>
      <x:c r="G7" s="11" t="str">
        <x:v>yes</x:v>
      </x:c>
    </x:row>
    <x:row r="8">
      <x:c r="A8" s="11" t="str">
        <x:v>WT_POWER_ELEC_ACCEL</x:v>
      </x:c>
      <x:c r="B8" s="11" t="n">
        <x:v>0.3</x:v>
      </x:c>
      <x:c r="C8" s="11" t="n">
        <x:v>1.2</x:v>
      </x:c>
      <x:c r="D8" s="11" t="n">
        <x:v>8</x:v>
      </x:c>
      <x:c r="E8" s="11" t="n">
        <x:v>-0.05</x:v>
      </x:c>
      <x:c r="F8" s="11" t="str">
        <x:v>DR = max_dr / (1 + EXP(-k_ratio * (V/Ve50 - D50_ratio)))</x:v>
      </x:c>
      <x:c r="G8" s="11" t="str">
        <x:v>no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22" hidden="0" customWidth="1"/>
    <x:col min="5" max="5" width="70" hidden="0" customWidth="1"/>
  </x:cols>
  <x:sheetData>
    <x:row r="1">
      <x:c r="A1" s="2" t="str">
        <x:v>IEC class selectors and design speed bridge</x:v>
      </x:c>
    </x:row>
    <x:row r="3">
      <x:c r="A3" s="18" t="str">
        <x:v>iec_class</x:v>
      </x:c>
      <x:c r="B3" s="18" t="str">
        <x:v>vref_10min_mps</x:v>
      </x:c>
      <x:c r="C3" s="18" t="str">
        <x:v>ve50_3s_hub_mps</x:v>
      </x:c>
      <x:c r="D3" s="18" t="str">
        <x:v>ve50_3s_hub_mph</x:v>
      </x:c>
      <x:c r="E3" s="18" t="str">
        <x:v>selector_notes</x:v>
      </x:c>
    </x:row>
    <x:row r="4">
      <x:c r="A4" s="11" t="str">
        <x:v>IEC I</x:v>
      </x:c>
      <x:c r="B4" s="11" t="n">
        <x:v>50</x:v>
      </x:c>
      <x:c r="C4" s="11" t="n">
        <x:v>70</x:v>
      </x:c>
      <x:c r="D4" s="11" t="n">
        <x:v>156.6</x:v>
      </x:c>
      <x:c r="E4" s="11" t="str">
        <x:v>High-wind design class / robust selector</x:v>
      </x:c>
    </x:row>
    <x:row r="5">
      <x:c r="A5" s="11" t="str">
        <x:v>IEC II</x:v>
      </x:c>
      <x:c r="B5" s="11" t="n">
        <x:v>42.5</x:v>
      </x:c>
      <x:c r="C5" s="11" t="n">
        <x:v>59.5</x:v>
      </x:c>
      <x:c r="D5" s="11" t="n">
        <x:v>133.1</x:v>
      </x:c>
      <x:c r="E5" s="11" t="str">
        <x:v>Default medium design class</x:v>
      </x:c>
    </x:row>
    <x:row r="6">
      <x:c r="A6" s="11" t="str">
        <x:v>IEC III</x:v>
      </x:c>
      <x:c r="B6" s="11" t="n">
        <x:v>37.5</x:v>
      </x:c>
      <x:c r="C6" s="11" t="n">
        <x:v>52.5</x:v>
      </x:c>
      <x:c r="D6" s="11" t="n">
        <x:v>117.4</x:v>
      </x:c>
      <x:c r="E6" s="11" t="str">
        <x:v>Lower-wind design class / more fragile selector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26" hidden="0" customWidth="1"/>
    <x:col min="5" max="5" width="70" hidden="0" customWidth="1"/>
    <x:col min="6" max="6" width="80" hidden="0" customWidth="1"/>
  </x:cols>
  <x:sheetData>
    <x:row r="1">
      <x:c r="A1" s="2" t="str">
        <x:v>Evidence-to-parameter map</x:v>
      </x:c>
    </x:row>
    <x:row r="3">
      <x:c r="A3" s="18" t="str">
        <x:v>evidence_id</x:v>
      </x:c>
      <x:c r="B3" s="18" t="str">
        <x:v>source_id</x:v>
      </x:c>
      <x:c r="C3" s="18" t="str">
        <x:v>evidence_item</x:v>
      </x:c>
      <x:c r="D3" s="18" t="str">
        <x:v>supports</x:v>
      </x:c>
      <x:c r="E3" s="18" t="str">
        <x:v>source_interpretation</x:v>
      </x:c>
      <x:c r="F3" s="18" t="str">
        <x:v>parameter_use</x:v>
      </x:c>
    </x:row>
    <x:row r="4">
      <x:c r="A4" s="11" t="str">
        <x:v>EVID_001</x:v>
      </x:c>
      <x:c r="B4" s="11" t="str">
        <x:v>SRC_DOE_WIND_STORMS</x:v>
      </x:c>
      <x:c r="C4" s="11" t="str">
        <x:v>Cut-out/shutdown and controls</x:v>
      </x:c>
      <x:c r="D4" s="11" t="str">
        <x:v>Conditioner logic</x:v>
      </x:c>
      <x:c r="E4" s="11" t="str">
        <x:v>Wind turbines shut down around cut-out speeds and feather/yaw to reduce loading.</x:v>
      </x:c>
      <x:c r="F4" s="11" t="str">
        <x:v>Used to define pitch/brake/yaw as conditioners, not damaged value buckets.</x:v>
      </x:c>
    </x:row>
    <x:row r="5">
      <x:c r="A5" s="11" t="str">
        <x:v>EVID_002</x:v>
      </x:c>
      <x:c r="B5" s="11" t="str">
        <x:v>SRC_DOE_WIND_STORMS</x:v>
      </x:c>
      <x:c r="C5" s="11" t="str">
        <x:v>IEC design gust context</x:v>
      </x:c>
      <x:c r="D5" s="11" t="str">
        <x:v>Low-damage design anchor</x:v>
      </x:c>
      <x:c r="E5" s="11" t="str">
        <x:v>DOE summarizes typical modern turbine design as sustained 112 mph and 3s gust 156 mph.</x:v>
      </x:c>
      <x:c r="F5" s="11" t="str">
        <x:v>Used as design anchor context, not as proof of zero failure.</x:v>
      </x:c>
    </x:row>
    <x:row r="6">
      <x:c r="A6" s="11" t="str">
        <x:v>EVID_003</x:v>
      </x:c>
      <x:c r="B6" s="11" t="str">
        <x:v>SRC_DTU_IEC</x:v>
      </x:c>
      <x:c r="C6" s="11" t="str">
        <x:v>IEC class/load-case framing</x:v>
      </x:c>
      <x:c r="D6" s="11" t="str">
        <x:v>X-axis + selector logic</x:v>
      </x:c>
      <x:c r="E6" s="11" t="str">
        <x:v>IEC class, extreme wind, gust, yaw error and turbulence are design/load case variables.</x:v>
      </x:c>
      <x:c r="F6" s="11" t="str">
        <x:v>Supports using IEC class as selector and operating states as conditioners.</x:v>
      </x:c>
    </x:row>
    <x:row r="7">
      <x:c r="A7" s="11" t="str">
        <x:v>EVID_004</x:v>
      </x:c>
      <x:c r="B7" s="11" t="str">
        <x:v>SRC_ASHES_IEC_EWM</x:v>
      </x:c>
      <x:c r="C7" s="11" t="str">
        <x:v>Ve50 equation</x:v>
      </x:c>
      <x:c r="D7" s="11" t="str">
        <x:v>Speed normalization</x:v>
      </x:c>
      <x:c r="E7" s="11" t="str">
        <x:v>Ve50 = 1.4 Vref at hub height in IEC EWM summary.</x:v>
      </x:c>
      <x:c r="F7" s="11" t="str">
        <x:v>Used to compute design-normalized speed ratio r = V3s_hub / Ve50_class.</x:v>
      </x:c>
    </x:row>
    <x:row r="8">
      <x:c r="A8" s="11" t="str">
        <x:v>EVID_005</x:v>
      </x:c>
      <x:c r="B8" s="11" t="str">
        <x:v>SRC_NWS_EF</x:v>
      </x:c>
      <x:c r="C8" s="11" t="str">
        <x:v>EF 3-second gust ranges</x:v>
      </x:c>
      <x:c r="D8" s="11" t="str">
        <x:v>Tornado bridge</x:v>
      </x:c>
      <x:c r="E8" s="11" t="str">
        <x:v>EF scale gives damage-estimated 3s gust ranges and warns estimates are damage-based.</x:v>
      </x:c>
      <x:c r="F8" s="11" t="str">
        <x:v>Used to bridge tornado EF to wind speed proxy with caution.</x:v>
      </x:c>
    </x:row>
    <x:row r="9">
      <x:c r="A9" s="11" t="str">
        <x:v>EVID_006</x:v>
      </x:c>
      <x:c r="B9" s="11" t="str">
        <x:v>SRC_NASA_GREENFIELD</x:v>
      </x:c>
      <x:c r="C9" s="11" t="str">
        <x:v>Greenfield EF4 direct-hit case</x:v>
      </x:c>
      <x:c r="D9" s="11" t="str">
        <x:v>High-severity case evidence</x:v>
      </x:c>
      <x:c r="E9" s="11" t="str">
        <x:v>EF4 185 mph tornado downed wind turbines/power lines.</x:v>
      </x:c>
      <x:c r="F9" s="11" t="str">
        <x:v>Used to check that direct-hit EF4 can produce catastrophic turbine outcomes; not a full curve.</x:v>
      </x:c>
    </x:row>
    <x:row r="10">
      <x:c r="A10" s="11" t="str">
        <x:v>EVID_007</x:v>
      </x:c>
      <x:c r="B10" s="11" t="str">
        <x:v>SRC_NIST_FRAGILITY</x:v>
      </x:c>
      <x:c r="C10" s="11" t="str">
        <x:v>Fragility/damage-state methodology</x:v>
      </x:c>
      <x:c r="D10" s="11" t="str">
        <x:v>Curve form and no-double-count logic</x:v>
      </x:c>
      <x:c r="E10" s="11" t="str">
        <x:v>Wind damage can be represented with fragility curves and damage matrices with interactions/no double counting.</x:v>
      </x:c>
      <x:c r="F10" s="11" t="str">
        <x:v>Supports logit/logistic fragility structure and dependency notes.</x:v>
      </x:c>
    </x:row>
    <x:row r="11">
      <x:c r="A11" s="11" t="str">
        <x:v>EVID_008</x:v>
      </x:c>
      <x:c r="B11" s="11" t="str">
        <x:v>SRC_RICE_ACCEL</x:v>
      </x:c>
      <x:c r="C11" s="11" t="str">
        <x:v>Acceleration-sensitive subcomponents</x:v>
      </x:c>
      <x:c r="D11" s="11" t="str">
        <x:v>Secondary pathway</x:v>
      </x:c>
      <x:c r="E11" s="11" t="str">
        <x:v>Turbine subcomponents can be sensitive to tower accelerations, including generator, brakes, yaw, inverters, controls, gearbox, and grid connections.</x:v>
      </x:c>
      <x:c r="F11" s="11" t="str">
        <x:v>Marked as secondary/open-seam pathway for v1.0.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34" hidden="0" customWidth="1"/>
    <x:col min="4" max="4" width="28" hidden="0" customWidth="1"/>
    <x:col min="5" max="5" width="90" hidden="0" customWidth="1"/>
  </x:cols>
  <x:sheetData>
    <x:row r="1">
      <x:c r="A1" s="2" t="str">
        <x:v>Base curve fit: anchors, assumptions, and caveats</x:v>
      </x:c>
    </x:row>
    <x:row r="3">
      <x:c r="A3" s="18" t="str">
        <x:v>anchor_id</x:v>
      </x:c>
      <x:c r="B3" s="18" t="str">
        <x:v>value</x:v>
      </x:c>
      <x:c r="C3" s="18" t="str">
        <x:v>source_or_basis</x:v>
      </x:c>
      <x:c r="D3" s="18" t="str">
        <x:v>supports</x:v>
      </x:c>
      <x:c r="E3" s="18" t="str">
        <x:v>notes</x:v>
      </x:c>
    </x:row>
    <x:row r="4">
      <x:c r="A4" s="11" t="str">
        <x:v>ANCHOR_CUTOUT</x:v>
      </x:c>
      <x:c r="B4" s="11" t="str">
        <x:v>55 mph / ~25 m/s</x:v>
      </x:c>
      <x:c r="C4" s="11" t="str">
        <x:v>DOE cut-out/shutdown context</x:v>
      </x:c>
      <x:c r="D4" s="11" t="str">
        <x:v>Conditioner threshold</x:v>
      </x:c>
      <x:c r="E4" s="11" t="str">
        <x:v>Not a structural damage anchor. Used to define turbine operating-state conditioner.</x:v>
      </x:c>
    </x:row>
    <x:row r="5">
      <x:c r="A5" s="11" t="str">
        <x:v>ANCHOR_IEC_CLASS</x:v>
      </x:c>
      <x:c r="B5" s="11" t="str">
        <x:v>Ve50 = 1.4 Vref</x:v>
      </x:c>
      <x:c r="C5" s="11" t="str">
        <x:v>IEC EWM summary</x:v>
      </x:c>
      <x:c r="D5" s="11" t="str">
        <x:v>Low-damage design anchor</x:v>
      </x:c>
      <x:c r="E5" s="11" t="str">
        <x:v>Used to normalize speed ratio. v1 assumes low but nonzero damage probability near r=1.</x:v>
      </x:c>
    </x:row>
    <x:row r="6">
      <x:c r="A6" s="11" t="str">
        <x:v>ANCHOR_EF4_CASE</x:v>
      </x:c>
      <x:c r="B6" s="11" t="str">
        <x:v>185 mph EF4 Greenfield</x:v>
      </x:c>
      <x:c r="C6" s="11" t="str">
        <x:v>NASA / NOAA case evidence</x:v>
      </x:c>
      <x:c r="D6" s="11" t="str">
        <x:v>High-severity tornado check</x:v>
      </x:c>
      <x:c r="E6" s="11" t="str">
        <x:v>Supports that direct-hit EF4 can down turbines; does not define farm-wide probability.</x:v>
      </x:c>
    </x:row>
    <x:row r="7">
      <x:c r="A7" s="11" t="str">
        <x:v>ANCHOR_FRAGILITY_METHOD</x:v>
      </x:c>
      <x:c r="B7" s="11" t="str">
        <x:v>Damage states / conditional probabilities</x:v>
      </x:c>
      <x:c r="C7" s="11" t="str">
        <x:v>NIST fragility/damage-matrix method</x:v>
      </x:c>
      <x:c r="D7" s="11" t="str">
        <x:v>Curve-form method</x:v>
      </x:c>
      <x:c r="E7" s="11" t="str">
        <x:v>Supports a monotone fragility/logistic approach and no-double-counting/dependency discipline.</x:v>
      </x:c>
    </x:row>
    <x:row r="8">
      <x:c r="A8" s="11" t="str">
        <x:v>ASSUMED_D50_BLADE</x:v>
      </x:c>
      <x:c r="B8" s="11" t="str">
        <x:v>r=1.38 straight-line</x:v>
      </x:c>
      <x:c r="C8" s="11" t="str">
        <x:v>Engineering fit</x:v>
      </x:c>
      <x:c r="D8" s="11" t="str">
        <x:v>Parameter</x:v>
      </x:c>
      <x:c r="E8" s="11" t="str">
        <x:v>Selected so Class II blade midpoint sits near 82 m/s / 184 mph, consistent with EF4 high-severity case check.</x:v>
      </x:c>
    </x:row>
    <x:row r="9">
      <x:c r="A9" s="11" t="str">
        <x:v>ASSUMED_D50_TOWER</x:v>
      </x:c>
      <x:c r="B9" s="11" t="str">
        <x:v>r=1.48 straight-line</x:v>
      </x:c>
      <x:c r="C9" s="11" t="str">
        <x:v>Engineering fit</x:v>
      </x:c>
      <x:c r="D9" s="11" t="str">
        <x:v>Parameter</x:v>
      </x:c>
      <x:c r="E9" s="11" t="str">
        <x:v>Tower midpoint higher than blade to reflect tower as stronger structural support, while allowing collapse in EF4-EF5 tail.</x:v>
      </x:c>
    </x:row>
    <x:row r="10">
      <x:c r="A10" s="11" t="str">
        <x:v>ASSUMED_D50_NACELLE</x:v>
      </x:c>
      <x:c r="B10" s="11" t="str">
        <x:v>r=1.44 straight-line</x:v>
      </x:c>
      <x:c r="C10" s="11" t="str">
        <x:v>Engineering fit</x:v>
      </x:c>
      <x:c r="D10" s="11" t="str">
        <x:v>Parameter</x:v>
      </x:c>
      <x:c r="E10" s="11" t="str">
        <x:v>Nacelle midpoint between blade/tower and max capped at 0.85 due dependency modeling.</x:v>
      </x:c>
    </x:row>
    <x:row r="11">
      <x:c r="A11" s="11" t="str">
        <x:v>ASSUMED_D50_FOUNDATION</x:v>
      </x:c>
      <x:c r="B11" s="11" t="str">
        <x:v>r=1.62 straight-line</x:v>
      </x:c>
      <x:c r="C11" s="11" t="str">
        <x:v>Engineering fit</x:v>
      </x:c>
      <x:c r="D11" s="11" t="str">
        <x:v>Parameter</x:v>
      </x:c>
      <x:c r="E11" s="11" t="str">
        <x:v>Foundation is conditional and often survives superstructure damage; lower max and higher midpoint.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60" hidden="0" customWidth="1"/>
    <x:col min="4" max="4" width="80" hidden="0" customWidth="1"/>
  </x:cols>
  <x:sheetData>
    <x:row r="1">
      <x:c r="A1" s="2" t="str">
        <x:v>New curve vs adjustment rules</x:v>
      </x:c>
    </x:row>
    <x:row r="3">
      <x:c r="A3" s="18" t="str">
        <x:v>adjustment_or_modifier</x:v>
      </x:c>
      <x:c r="B3" s="18" t="str">
        <x:v>adjustment_type</x:v>
      </x:c>
      <x:c r="C3" s="18" t="str">
        <x:v>v1_logic</x:v>
      </x:c>
      <x:c r="D3" s="18" t="str">
        <x:v>notes</x:v>
      </x:c>
    </x:row>
    <x:row r="4">
      <x:c r="A4" s="11" t="str">
        <x:v>IEC class selector</x:v>
      </x:c>
      <x:c r="B4" s="11" t="str">
        <x:v>Horizontal rescaling via Ve50</x:v>
      </x:c>
      <x:c r="C4" s="11" t="str">
        <x:v>Same normalized curve shape, different absolute speed axis</x:v>
      </x:c>
      <x:c r="D4" s="11" t="str">
        <x:v>Class I/II/III changes Vref and Ve50. This is a selector, not a new mechanism.</x:v>
      </x:c>
    </x:row>
    <x:row r="5">
      <x:c r="A5" s="11" t="str">
        <x:v>Tornado direct-hit</x:v>
      </x:c>
      <x:c r="B5" s="11" t="str">
        <x:v>Horizontal shift left</x:v>
      </x:c>
      <x:c r="C5" s="11" t="str">
        <x:v>D50_tornado = D50_straight + tornado_d50_shift</x:v>
      </x:c>
      <x:c r="D5" s="11" t="str">
        <x:v>Reflects tornado turbulence/debris/directionality and EF case evidence. This is a v1 assumption, not a fully sourced tornado turbine fragility.</x:v>
      </x:c>
    </x:row>
    <x:row r="6">
      <x:c r="A6" s="11" t="str">
        <x:v>Feathered / parked state</x:v>
      </x:c>
      <x:c r="B6" s="11" t="str">
        <x:v>Horizontal shift right or lower max</x:v>
      </x:c>
      <x:c r="C6" s="11" t="str">
        <x:v>Not numerically implemented by default except as metadata</x:v>
      </x:c>
      <x:c r="D6" s="11" t="str">
        <x:v>DOE supports feathering/shutdown/yaw as protective conditioners; exact numeric adjustment is turbine-model specific.</x:v>
      </x:c>
    </x:row>
    <x:row r="7">
      <x:c r="A7" s="11" t="str">
        <x:v>Yaw error / failed yaw</x:v>
      </x:c>
      <x:c r="B7" s="11" t="str">
        <x:v>Horizontal shift left</x:v>
      </x:c>
      <x:c r="C7" s="11" t="str">
        <x:v>Conditioner open seam</x:v>
      </x:c>
      <x:c r="D7" s="11" t="str">
        <x:v>IEC load cases include yaw error; v1.0 records the field but does not claim a generic yaw-error multiplier.</x:v>
      </x:c>
    </x:row>
    <x:row r="8">
      <x:c r="A8" s="11" t="str">
        <x:v>Exposed turbine fraction</x:v>
      </x:c>
      <x:c r="B8" s="11" t="str">
        <x:v>Exposure multiplier</x:v>
      </x:c>
      <x:c r="C8" s="11" t="str">
        <x:v>Farm loss = per-exposed-turbine loss × exposed_turbine_fraction</x:v>
      </x:c>
      <x:c r="D8" s="11" t="str">
        <x:v>Changes affected value, not per-turbine fragility.</x:v>
      </x:c>
    </x:row>
    <x:row r="9">
      <x:c r="A9" s="11" t="str">
        <x:v>Blade/tower/nacelle dependency</x:v>
      </x:c>
      <x:c r="B9" s="11" t="str">
        <x:v>Assembly/dependency rule</x:v>
      </x:c>
      <x:c r="C9" s="11" t="str">
        <x:v>Avoid double-counting consequential damage</x:v>
      </x:c>
      <x:c r="D9" s="11" t="str">
        <x:v>v1.0 flags dependency; future v1.1 can introduce damage-state transition matrix.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6" hidden="0" customWidth="1"/>
    <x:col min="4" max="4" width="24" hidden="0" customWidth="1"/>
    <x:col min="5" max="5" width="65" hidden="0" customWidth="1"/>
    <x:col min="6" max="6" width="70" hidden="0" customWidth="1"/>
  </x:cols>
  <x:sheetData>
    <x:row r="1">
      <x:c r="A1" s="2" t="str">
        <x:v>Curve variant catalog</x:v>
      </x:c>
    </x:row>
    <x:row r="3">
      <x:c r="A3" s="18" t="str">
        <x:v>variant_id</x:v>
      </x:c>
      <x:c r="B3" s="18" t="str">
        <x:v>variant_name</x:v>
      </x:c>
      <x:c r="C3" s="18" t="str">
        <x:v>iec_class</x:v>
      </x:c>
      <x:c r="D3" s="18" t="str">
        <x:v>pathway</x:v>
      </x:c>
      <x:c r="E3" s="18" t="str">
        <x:v>parameter_logic</x:v>
      </x:c>
      <x:c r="F3" s="18" t="str">
        <x:v>notes</x:v>
      </x:c>
    </x:row>
    <x:row r="4">
      <x:c r="A4" s="11" t="str">
        <x:v>VAR_SLW_IEC_I</x:v>
      </x:c>
      <x:c r="B4" s="11" t="str">
        <x:v>Straight-line Class I</x:v>
      </x:c>
      <x:c r="C4" s="11" t="str">
        <x:v>IEC I</x:v>
      </x:c>
      <x:c r="D4" s="11" t="str">
        <x:v>straight_line</x:v>
      </x:c>
      <x:c r="E4" s="11" t="str">
        <x:v>D50 as listed; Ve50=70 m/s</x:v>
      </x:c>
      <x:c r="F4" s="11" t="str">
        <x:v>Higher absolute speed tolerance.</x:v>
      </x:c>
    </x:row>
    <x:row r="5">
      <x:c r="A5" s="11" t="str">
        <x:v>VAR_SLW_IEC_II</x:v>
      </x:c>
      <x:c r="B5" s="11" t="str">
        <x:v>Straight-line Class II default</x:v>
      </x:c>
      <x:c r="C5" s="11" t="str">
        <x:v>IEC II</x:v>
      </x:c>
      <x:c r="D5" s="11" t="str">
        <x:v>straight_line</x:v>
      </x:c>
      <x:c r="E5" s="11" t="str">
        <x:v>D50 as listed; Ve50=59.5 m/s</x:v>
      </x:c>
      <x:c r="F5" s="11" t="str">
        <x:v>Default generic wind farm.</x:v>
      </x:c>
    </x:row>
    <x:row r="6">
      <x:c r="A6" s="11" t="str">
        <x:v>VAR_SLW_IEC_III</x:v>
      </x:c>
      <x:c r="B6" s="11" t="str">
        <x:v>Straight-line Class III</x:v>
      </x:c>
      <x:c r="C6" s="11" t="str">
        <x:v>IEC III</x:v>
      </x:c>
      <x:c r="D6" s="11" t="str">
        <x:v>straight_line</x:v>
      </x:c>
      <x:c r="E6" s="11" t="str">
        <x:v>D50 as listed; Ve50=52.5 m/s</x:v>
      </x:c>
      <x:c r="F6" s="11" t="str">
        <x:v>Lower-wind design class; curves shift left in absolute speed.</x:v>
      </x:c>
    </x:row>
    <x:row r="7">
      <x:c r="A7" s="11" t="str">
        <x:v>VAR_TOR_IEC_II_DIRECT</x:v>
      </x:c>
      <x:c r="B7" s="11" t="str">
        <x:v>Tornado direct-hit Class II</x:v>
      </x:c>
      <x:c r="C7" s="11" t="str">
        <x:v>IEC II</x:v>
      </x:c>
      <x:c r="D7" s="11" t="str">
        <x:v>tornado_direct_hit</x:v>
      </x:c>
      <x:c r="E7" s="11" t="str">
        <x:v>D50 shifted left by curve-specific shift; exposure fraction usually &lt;1</x:v>
      </x:c>
      <x:c r="F7" s="11" t="str">
        <x:v>Case-informed but not claims-calibrated.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40" hidden="0" customWidth="1"/>
    <x:col min="4" max="4" width="60" hidden="0" customWidth="1"/>
    <x:col min="5" max="5" width="60" hidden="0" customWidth="1"/>
  </x:cols>
  <x:sheetData>
    <x:row r="1">
      <x:c r="A1" s="2" t="str">
        <x:v>Selectors, conditioners, and exposure variables</x:v>
      </x:c>
    </x:row>
    <x:row r="3">
      <x:c r="A3" s="18" t="str">
        <x:v>kind</x:v>
      </x:c>
      <x:c r="B3" s="18" t="str">
        <x:v>field_name</x:v>
      </x:c>
      <x:c r="C3" s="18" t="str">
        <x:v>allowed_or_unit</x:v>
      </x:c>
      <x:c r="D3" s="18" t="str">
        <x:v>role_in_curve</x:v>
      </x:c>
      <x:c r="E3" s="18" t="str">
        <x:v>v1_status</x:v>
      </x:c>
    </x:row>
    <x:row r="4">
      <x:c r="A4" s="11" t="str">
        <x:v>selector</x:v>
      </x:c>
      <x:c r="B4" s="11" t="str">
        <x:v>iec_wind_class</x:v>
      </x:c>
      <x:c r="C4" s="11" t="str">
        <x:v>IEC I / IEC II / IEC III / site-specific</x:v>
      </x:c>
      <x:c r="D4" s="11" t="str">
        <x:v>Chooses Ve50 and absolute speed scale.</x:v>
      </x:c>
      <x:c r="E4" s="11" t="str">
        <x:v>Required for v1.0 if known; default IEC II.</x:v>
      </x:c>
    </x:row>
    <x:row r="5">
      <x:c r="A5" s="11" t="str">
        <x:v>selector</x:v>
      </x:c>
      <x:c r="B5" s="11" t="str">
        <x:v>turbine_model_or_design_speed</x:v>
      </x:c>
      <x:c r="C5" s="11" t="str">
        <x:v>manufacturer/model or site-specific Vref</x:v>
      </x:c>
      <x:c r="D5" s="11" t="str">
        <x:v>Can override generic IEC class.</x:v>
      </x:c>
      <x:c r="E5" s="11" t="str">
        <x:v>Preferred if available.</x:v>
      </x:c>
    </x:row>
    <x:row r="6">
      <x:c r="A6" s="11" t="str">
        <x:v>selector</x:v>
      </x:c>
      <x:c r="B6" s="11" t="str">
        <x:v>hub_height_m</x:v>
      </x:c>
      <x:c r="C6" s="11" t="str">
        <x:v>m</x:v>
      </x:c>
      <x:c r="D6" s="11" t="str">
        <x:v>Used to evaluate or convert hazard speed to hub height.</x:v>
      </x:c>
      <x:c r="E6" s="11" t="str">
        <x:v>Required if hazard source is not already hub-height.</x:v>
      </x:c>
    </x:row>
    <x:row r="7">
      <x:c r="A7" s="11" t="str">
        <x:v>conditioner</x:v>
      </x:c>
      <x:c r="B7" s="11" t="str">
        <x:v>operating_state</x:v>
      </x:c>
      <x:c r="C7" s="11" t="str">
        <x:v>operating / parked / curtailed / faulted</x:v>
      </x:c>
      <x:c r="D7" s="11" t="str">
        <x:v>Changes blade/tower loads.</x:v>
      </x:c>
      <x:c r="E7" s="11" t="str">
        <x:v>Optional but important.</x:v>
      </x:c>
    </x:row>
    <x:row r="8">
      <x:c r="A8" s="11" t="str">
        <x:v>conditioner</x:v>
      </x:c>
      <x:c r="B8" s="11" t="str">
        <x:v>feathered_state</x:v>
      </x:c>
      <x:c r="C8" s="11" t="str">
        <x:v>feathered / not_feathered / unknown</x:v>
      </x:c>
      <x:c r="D8" s="11" t="str">
        <x:v>Protective state for blade loading.</x:v>
      </x:c>
      <x:c r="E8" s="11" t="str">
        <x:v>DOE supports direction; numeric shift model-specific.</x:v>
      </x:c>
    </x:row>
    <x:row r="9">
      <x:c r="A9" s="11" t="str">
        <x:v>conditioner</x:v>
      </x:c>
      <x:c r="B9" s="11" t="str">
        <x:v>yaw_alignment</x:v>
      </x:c>
      <x:c r="C9" s="11" t="str">
        <x:v>aligned / yaw_error / unknown</x:v>
      </x:c>
      <x:c r="D9" s="11" t="str">
        <x:v>Yaw error can increase lateral structural loading.</x:v>
      </x:c>
      <x:c r="E9" s="11" t="str">
        <x:v>IEC load-case context; numeric effect open seam.</x:v>
      </x:c>
    </x:row>
    <x:row r="10">
      <x:c r="A10" s="11" t="str">
        <x:v>conditioner</x:v>
      </x:c>
      <x:c r="B10" s="11" t="str">
        <x:v>brake_status</x:v>
      </x:c>
      <x:c r="C10" s="11" t="str">
        <x:v>available / failed / unknown</x:v>
      </x:c>
      <x:c r="D10" s="11" t="str">
        <x:v>Controls overspeed and parked state.</x:v>
      </x:c>
      <x:c r="E10" s="11" t="str">
        <x:v>Tracked as conditioner.</x:v>
      </x:c>
    </x:row>
    <x:row r="11">
      <x:c r="A11" s="11" t="str">
        <x:v>exposure</x:v>
      </x:c>
      <x:c r="B11" s="11" t="str">
        <x:v>exposed_turbine_fraction</x:v>
      </x:c>
      <x:c r="C11" s="11" t="str">
        <x:v>0-1</x:v>
      </x:c>
      <x:c r="D11" s="11" t="str">
        <x:v>Fraction of turbines in damaging wind/tornado swath.</x:v>
      </x:c>
      <x:c r="E11" s="11" t="str">
        <x:v>Essential for tornado farm-level damage.</x:v>
      </x:c>
    </x:row>
    <x:row r="12">
      <x:c r="A12" s="11" t="str">
        <x:v>exposure</x:v>
      </x:c>
      <x:c r="B12" s="11" t="str">
        <x:v>turbines_exposed_count</x:v>
      </x:c>
      <x:c r="C12" s="11" t="str">
        <x:v>integer</x:v>
      </x:c>
      <x:c r="D12" s="11" t="str">
        <x:v>Alternative to fraction.</x:v>
      </x:c>
      <x:c r="E12" s="11" t="str">
        <x:v>Can compute exposure fraction from total turbine count.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60" hidden="0" customWidth="1"/>
    <x:col min="4" max="4" width="80" hidden="0" customWidth="1"/>
  </x:cols>
  <x:sheetData>
    <x:row r="1">
      <x:c r="A1" s="2" t="str">
        <x:v>Hazard metadata and bridge fields</x:v>
      </x:c>
    </x:row>
    <x:row r="3">
      <x:c r="A3" s="18" t="str">
        <x:v>metadata_group</x:v>
      </x:c>
      <x:c r="B3" s="18" t="str">
        <x:v>field_name</x:v>
      </x:c>
      <x:c r="C3" s="18" t="str">
        <x:v>meaning</x:v>
      </x:c>
      <x:c r="D3" s="18" t="str">
        <x:v>notes</x:v>
      </x:c>
    </x:row>
    <x:row r="4">
      <x:c r="A4" s="11" t="str">
        <x:v>hazard_speed_source</x:v>
      </x:c>
      <x:c r="B4" s="11" t="str">
        <x:v>hub_height_3s_gust_mps</x:v>
      </x:c>
      <x:c r="C4" s="11" t="str">
        <x:v>Preferred for straight-line wind.</x:v>
      </x:c>
      <x:c r="D4" s="11" t="str">
        <x:v>No conversion needed.</x:v>
      </x:c>
    </x:row>
    <x:row r="5">
      <x:c r="A5" s="11" t="str">
        <x:v>hazard_speed_source</x:v>
      </x:c>
      <x:c r="B5" s="11" t="str">
        <x:v>10m_3s_gust_mps</x:v>
      </x:c>
      <x:c r="C5" s="11" t="str">
        <x:v>Surface wind; requires vertical conversion to hub height.</x:v>
      </x:c>
      <x:c r="D5" s="11" t="str">
        <x:v>Use with caution.</x:v>
      </x:c>
    </x:row>
    <x:row r="6">
      <x:c r="A6" s="11" t="str">
        <x:v>hazard_speed_source</x:v>
      </x:c>
      <x:c r="B6" s="11" t="str">
        <x:v>EF_rating</x:v>
      </x:c>
      <x:c r="C6" s="11" t="str">
        <x:v>Tornado proxy; uses EF range midpoint or selected percentile.</x:v>
      </x:c>
      <x:c r="D6" s="11" t="str">
        <x:v>Damage-estimated, not measured.</x:v>
      </x:c>
    </x:row>
    <x:row r="7">
      <x:c r="A7" s="11" t="str">
        <x:v>bridge</x:v>
      </x:c>
      <x:c r="B7" s="11" t="str">
        <x:v>EF_to_speed_mps</x:v>
      </x:c>
      <x:c r="C7" s="11" t="str">
        <x:v>Use NWS EF 3s gust range; select midpoint/base/high.</x:v>
      </x:c>
      <x:c r="D7" s="11" t="str">
        <x:v>Bridge uncertainty should be carried.</x:v>
      </x:c>
    </x:row>
    <x:row r="8">
      <x:c r="A8" s="11" t="str">
        <x:v>bridge</x:v>
      </x:c>
      <x:c r="B8" s="11" t="str">
        <x:v>V_to_ratio</x:v>
      </x:c>
      <x:c r="C8" s="11" t="str">
        <x:v>r = V_hub_3s / Ve50_class</x:v>
      </x:c>
      <x:c r="D8" s="11" t="str">
        <x:v>Curve evaluated on normalized ratio.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34" hidden="0" customWidth="1"/>
    <x:col min="4" max="4" width="24" hidden="0" customWidth="1"/>
    <x:col min="5" max="5" width="28" hidden="0" customWidth="1"/>
    <x:col min="6" max="6" width="24" hidden="0" customWidth="1"/>
    <x:col min="7" max="7" width="80" hidden="0" customWidth="1"/>
  </x:cols>
  <x:sheetData>
    <x:row r="1">
      <x:c r="A1" s="2" t="str">
        <x:v>Value link and cap basis</x:v>
      </x:c>
    </x:row>
    <x:row r="3">
      <x:c r="A3" s="18" t="str">
        <x:v>curve_id</x:v>
      </x:c>
      <x:c r="B3" s="18" t="str">
        <x:v>subsystem</x:v>
      </x:c>
      <x:c r="C3" s="18" t="str">
        <x:v>component</x:v>
      </x:c>
      <x:c r="D3" s="18" t="str">
        <x:v>value_share_physical_base</x:v>
      </x:c>
      <x:c r="E3" s="18" t="str">
        <x:v>basis</x:v>
      </x:c>
      <x:c r="F3" s="18" t="str">
        <x:v>included_in_default_loss</x:v>
      </x:c>
      <x:c r="G3" s="18" t="str">
        <x:v>notes</x:v>
      </x:c>
    </x:row>
    <x:row r="4">
      <x:c r="A4" s="11" t="str">
        <x:v>WT_BLADE_STRUCT</x:v>
      </x:c>
      <x:c r="B4" s="11" t="str">
        <x:v>ROTOR_ASSEMBLY</x:v>
      </x:c>
      <x:c r="C4" s="11" t="str">
        <x:v>BLADE</x:v>
      </x:c>
      <x:c r="D4" s="11" t="n">
        <x:v>0.173</x:v>
      </x:c>
      <x:c r="E4" s="11" t="str">
        <x:v>physical replaceable base</x:v>
      </x:c>
      <x:c r="F4" s="11" t="str">
        <x:v>yes</x:v>
      </x:c>
      <x:c r="G4" s="11" t="str">
        <x:v>Blade subshare of rotor; generic default from value workbook / NREL CWER mapping.</x:v>
      </x:c>
    </x:row>
    <x:row r="5">
      <x:c r="A5" s="11" t="str">
        <x:v>WT_TOWER_STRUCT</x:v>
      </x:c>
      <x:c r="B5" s="11" t="str">
        <x:v>TOWER</x:v>
      </x:c>
      <x:c r="C5" s="11" t="str">
        <x:v>TOWER_SECTION</x:v>
      </x:c>
      <x:c r="D5" s="11" t="n">
        <x:v>0.169</x:v>
      </x:c>
      <x:c r="E5" s="11" t="str">
        <x:v>physical replaceable base</x:v>
      </x:c>
      <x:c r="F5" s="11" t="str">
        <x:v>yes</x:v>
      </x:c>
      <x:c r="G5" s="11" t="str">
        <x:v>Tower value bucket.</x:v>
      </x:c>
    </x:row>
    <x:row r="6">
      <x:c r="A6" s="11" t="str">
        <x:v>WT_NACELLE_CONSEQ</x:v>
      </x:c>
      <x:c r="B6" s="11" t="str">
        <x:v>NACELLE</x:v>
      </x:c>
      <x:c r="C6" s="11" t="str">
        <x:v>GEARBOX; GENERATOR_INTERNAL; YAW_SYSTEM</x:v>
      </x:c>
      <x:c r="D6" s="11" t="n">
        <x:v>0.345</x:v>
      </x:c>
      <x:c r="E6" s="11" t="str">
        <x:v>physical replaceable base</x:v>
      </x:c>
      <x:c r="F6" s="11" t="str">
        <x:v>yes</x:v>
      </x:c>
      <x:c r="G6" s="11" t="str">
        <x:v>Nacelle value bucket; dependency-sensitive.</x:v>
      </x:c>
    </x:row>
    <x:row r="7">
      <x:c r="A7" s="11" t="str">
        <x:v>WT_FOUNDATION_OT</x:v>
      </x:c>
      <x:c r="B7" s="11" t="str">
        <x:v>FOUNDATION</x:v>
      </x:c>
      <x:c r="C7" s="11" t="str">
        <x:v>FOUNDATION_BASE</x:v>
      </x:c>
      <x:c r="D7" s="11" t="n">
        <x:v>0.062</x:v>
      </x:c>
      <x:c r="E7" s="11" t="str">
        <x:v>physical replaceable base</x:v>
      </x:c>
      <x:c r="F7" s="11" t="str">
        <x:v>yes</x:v>
      </x:c>
      <x:c r="G7" s="11" t="str">
        <x:v>Foundation/support bucket.</x:v>
      </x:c>
    </x:row>
    <x:row r="8">
      <x:c r="A8" s="11" t="str">
        <x:v>WT_POWER_ELEC_ACCEL</x:v>
      </x:c>
      <x:c r="B8" s="11" t="str">
        <x:v>POWER_ELECTRONICS</x:v>
      </x:c>
      <x:c r="C8" s="11" t="str">
        <x:v>POWER_CONVERTER</x:v>
      </x:c>
      <x:c r="D8" s="11" t="n">
        <x:v>0.037</x:v>
      </x:c>
      <x:c r="E8" s="11" t="str">
        <x:v>physical replaceable base</x:v>
      </x:c>
      <x:c r="F8" s="11" t="str">
        <x:v>no</x:v>
      </x:c>
      <x:c r="G8" s="11" t="str">
        <x:v>Secondary acceleration/open-seam pathway.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44" hidden="0" customWidth="1"/>
    <x:col min="4" max="4" width="80" hidden="0" customWidth="1"/>
    <x:col min="5" max="5" width="90" hidden="0" customWidth="1"/>
  </x:cols>
  <x:sheetData>
    <x:row r="1">
      <x:c r="A1" s="2" t="str">
        <x:v>Source inventory with links</x:v>
      </x:c>
    </x:row>
    <x:row r="3">
      <x:c r="A3" s="18" t="str">
        <x:v>source_id</x:v>
      </x:c>
      <x:c r="B3" s="18" t="str">
        <x:v>publisher</x:v>
      </x:c>
      <x:c r="C3" s="18" t="str">
        <x:v>title</x:v>
      </x:c>
      <x:c r="D3" s="18" t="str">
        <x:v>url</x:v>
      </x:c>
      <x:c r="E3" s="18" t="str">
        <x:v>how_used</x:v>
      </x:c>
    </x:row>
    <x:row r="4">
      <x:c r="A4" s="11" t="str">
        <x:v>SRC_DOE_WIND_STORMS</x:v>
      </x:c>
      <x:c r="B4" s="11" t="str">
        <x:v>DOE / Energy.gov</x:v>
      </x:c>
      <x:c r="C4" s="11" t="str">
        <x:v>Wind turbines severe weather controls and design context</x:v>
      </x:c>
      <x:c r="D4" s="11" t="str">
        <x:v>https://www.energy.gov/cmei/wind/articles/how-do-wind-turbines-survive-severe-weather-and-storms</x:v>
      </x:c>
      <x:c r="E4" s="11" t="str">
        <x:v>Supports cut-out/shutdown, feathering, yaw behavior, typical IEC design gust context, and direct tornado-damage caveat.</x:v>
      </x:c>
    </x:row>
    <x:row r="5">
      <x:c r="A5" s="11" t="str">
        <x:v>SRC_DTU_IEC</x:v>
      </x:c>
      <x:c r="B5" s="11" t="str">
        <x:v>DTU Wind Energy Systems</x:v>
      </x:c>
      <x:c r="C5" s="11" t="str">
        <x:v>IEC 61400-1 turbine safety standard explainer</x:v>
      </x:c>
      <x:c r="D5" s="11" t="str">
        <x:v>https://wasp.dtu.dk/software/windfarm-assessment-tool/iec-61400-1</x:v>
      </x:c>
      <x:c r="E5" s="11" t="str">
        <x:v>Supports class/load-case framing, extreme wind, gusts, yaw error, turbulence, and site assessment principle.</x:v>
      </x:c>
    </x:row>
    <x:row r="6">
      <x:c r="A6" s="11" t="str">
        <x:v>SRC_ASHES_IEC_EWM</x:v>
      </x:c>
      <x:c r="B6" s="11" t="str">
        <x:v>Ashes / Simis docs</x:v>
      </x:c>
      <x:c r="C6" s="11" t="str">
        <x:v>IEC extreme wind equations summary</x:v>
      </x:c>
      <x:c r="D6" s="11" t="str">
        <x:v>https://www.simis.io/docs/wind-iec-extreme-events</x:v>
      </x:c>
      <x:c r="E6" s="11" t="str">
        <x:v>Supports Ve50 = 1.4 * Vref at hub height, Ve1 = 0.8 * Ve50, and extreme wind model framing.</x:v>
      </x:c>
    </x:row>
    <x:row r="7">
      <x:c r="A7" s="11" t="str">
        <x:v>SRC_NWS_EF</x:v>
      </x:c>
      <x:c r="B7" s="11" t="str">
        <x:v>NOAA / National Weather Service</x:v>
      </x:c>
      <x:c r="C7" s="11" t="str">
        <x:v>Enhanced Fujita scale</x:v>
      </x:c>
      <x:c r="D7" s="11" t="str">
        <x:v>https://www.weather.gov/grb/efscale</x:v>
      </x:c>
      <x:c r="E7" s="11" t="str">
        <x:v>Supports EF-scale 3-second gust ranges and warning that EF wind estimates are damage-based, not direct measurements.</x:v>
      </x:c>
    </x:row>
    <x:row r="8">
      <x:c r="A8" s="11" t="str">
        <x:v>SRC_NASA_GREENFIELD</x:v>
      </x:c>
      <x:c r="B8" s="11" t="str">
        <x:v>NASA Earth Observatory</x:v>
      </x:c>
      <x:c r="C8" s="11" t="str">
        <x:v>2024 Greenfield tornado case</x:v>
      </x:c>
      <x:c r="D8" s="11" t="str">
        <x:v>https://science.nasa.gov/earth/earth-observatory/tornado-damage-in-greenfield-152870/</x:v>
      </x:c>
      <x:c r="E8" s="11" t="str">
        <x:v>Supports EF4 185 mph case evidence with downed wind turbines/power lines; used as high-severity case evidence, not a curve.</x:v>
      </x:c>
    </x:row>
    <x:row r="9">
      <x:c r="A9" s="11" t="str">
        <x:v>SRC_NIST_FRAGILITY</x:v>
      </x:c>
      <x:c r="B9" s="11" t="str">
        <x:v>NIST</x:v>
      </x:c>
      <x:c r="C9" s="11" t="str">
        <x:v>Fragility curves, damage matrices, and wind-induced loss estimation</x:v>
      </x:c>
      <x:c r="D9" s="11" t="str">
        <x:v>https://www.nist.gov/publications/fragility-curves-damage-matrices-and-wind-induced-loss-estimation</x:v>
      </x:c>
      <x:c r="E9" s="11" t="str">
        <x:v>Supports fragility/damage-state methodology, multiple damage types, no double-counting, and conditional dependencies.</x:v>
      </x:c>
    </x:row>
    <x:row r="10">
      <x:c r="A10" s="11" t="str">
        <x:v>SRC_RICE_ACCEL</x:v>
      </x:c>
      <x:c r="B10" s="11" t="str">
        <x:v>Rice / Dueñas-Osorio research group</x:v>
      </x:c>
      <x:c r="C10" s="11" t="str">
        <x:v>Wind-induced acceleration fragility context</x:v>
      </x:c>
      <x:c r="D10" s="11" t="str">
        <x:v>https://duenas-osorio.rice.edu/sisrra/current-projects-and-sponsors/long-term-unavailability-wind-turbines-wind-induced-accelerations</x:v>
      </x:c>
      <x:c r="E10" s="11" t="str">
        <x:v>Supports acceleration-sensitive turbine subcomponents as secondary/open-seam pathway, not default physical-damage curve.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>
      <x:c r="A1" s="18" t="str">
        <x:v>coverage_roles</x:v>
      </x:c>
      <x:c r="B1" s="18" t="str">
        <x:v>curve_forms</x:v>
      </x:c>
      <x:c r="C1" s="18" t="str">
        <x:v>iec_classes</x:v>
      </x:c>
      <x:c r="D1" s="18" t="str">
        <x:v>pathways</x:v>
      </x:c>
      <x:c r="E1" s="18" t="str">
        <x:v>yes_no</x:v>
      </x:c>
    </x:row>
    <x:row r="2">
      <x:c r="A2" t="str">
        <x:v>Primary nonzero</x:v>
      </x:c>
      <x:c r="B2" t="str">
        <x:v>bounded_logistic_on_speed_ratio</x:v>
      </x:c>
      <x:c r="C2" t="str">
        <x:v>IEC I</x:v>
      </x:c>
      <x:c r="D2" t="str">
        <x:v>straight_line</x:v>
      </x:c>
      <x:c r="E2" t="str">
        <x:v>yes</x:v>
      </x:c>
    </x:row>
    <x:row r="3">
      <x:c r="A3" t="str">
        <x:v>Conditional primary</x:v>
      </x:c>
      <x:c r="B3" t="str">
        <x:v>piecewise_state</x:v>
      </x:c>
      <x:c r="C3" t="str">
        <x:v>IEC II</x:v>
      </x:c>
      <x:c r="D3" t="str">
        <x:v>tornado_direct_hit</x:v>
      </x:c>
      <x:c r="E3" t="str">
        <x:v>no</x:v>
      </x:c>
    </x:row>
    <x:row r="4">
      <x:c r="A4" t="str">
        <x:v>Secondary / conditional</x:v>
      </x:c>
      <x:c r="B4" t="str">
        <x:v>empirical_table</x:v>
      </x:c>
      <x:c r="C4" t="str">
        <x:v>IEC III</x:v>
      </x:c>
      <x:c r="D4" t="str">
        <x:v>hurricane</x:v>
      </x:c>
    </x:row>
    <x:row r="5">
      <x:c r="A5" t="str">
        <x:v>Conditioner-only state</x:v>
      </x:c>
      <x:c r="B5" t="str">
        <x:v>threshold</x:v>
      </x:c>
      <x:c r="C5" t="str">
        <x:v>site_specific</x:v>
      </x:c>
      <x:c r="D5" t="str">
        <x:v>mixed</x:v>
      </x:c>
    </x:row>
    <x:row r="6">
      <x:c r="A6" t="str">
        <x:v>Exposure / protection modifier</x:v>
      </x:c>
      <x:c r="B6" t="str">
        <x:v>placeholder</x:v>
      </x:c>
    </x:row>
    <x:row r="7">
      <x:c r="A7" t="str">
        <x:v>DR≈0 reviewed bucket</x:v>
      </x:c>
      <x:c r="B7" t="str">
        <x:v>dependency_matrix</x:v>
      </x:c>
    </x:row>
    <x:row r="8">
      <x:c r="A8" t="str">
        <x:v>Primary nonzero / dependency-sensitive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10" t="str">
        <x:v>Wind/tornado v1.0 curve data — formula-driven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</x:row>
    <x:row r="3">
      <x:c r="A3" s="6" t="str">
        <x:v>Selected IEC class</x:v>
      </x:c>
      <x:c r="B3" t="str">
        <x:v>IEC II</x:v>
      </x:c>
    </x:row>
    <x:row r="4">
      <x:c r="A4" s="6" t="str">
        <x:v>Vref_10min_mps</x:v>
      </x:c>
      <x:c r="B4" t="n">
        <x:v>42.5</x:v>
      </x:c>
    </x:row>
    <x:row r="5">
      <x:c r="A5" s="6" t="str">
        <x:v>Ve50_3s_hub_mps</x:v>
      </x:c>
      <x:c r="B5" s="30" t="n">
        <x:v>59.5</x:v>
      </x:c>
    </x:row>
    <x:row r="6">
      <x:c r="A6" s="6" t="str">
        <x:v>Ve50_3s_hub_mph</x:v>
      </x:c>
      <x:c r="B6" s="30" t="n">
        <x:v>133.1</x:v>
      </x:c>
    </x:row>
    <x:row r="7">
      <x:c r="A7" s="6" t="str">
        <x:v>Tornado exposure fraction</x:v>
      </x:c>
      <x:c r="B7" s="28" t="n">
        <x:v>0.1</x:v>
      </x:c>
    </x:row>
    <x:row r="8">
      <x:c r="A8" s="6" t="str">
        <x:v>Straight-line exposure fraction</x:v>
      </x:c>
      <x:c r="B8" s="28" t="n">
        <x:v>1</x:v>
      </x:c>
    </x:row>
    <x:row r="9">
      <x:c r="A9" s="6" t="str">
        <x:v>Physical base $</x:v>
      </x:c>
      <x:c r="B9" s="24" t="n">
        <x:v>324600000</x:v>
      </x:c>
    </x:row>
    <x:row r="10">
      <x:c r="A10" s="6" t="str">
        <x:v>Installed capex / TIV $</x:v>
      </x:c>
      <x:c r="B10" s="24" t="n">
        <x:v>393600000</x:v>
      </x:c>
    </x:row>
    <x:row r="12">
      <x:c r="A12" s="18" t="str">
        <x:v>V_mps</x:v>
      </x:c>
      <x:c r="B12" s="18" t="str">
        <x:v>V_mph</x:v>
      </x:c>
      <x:c r="C12" s="18" t="str">
        <x:v>ratio_to_Ve50</x:v>
      </x:c>
      <x:c r="D12" s="18" t="str">
        <x:v>blade_DR_SLW</x:v>
      </x:c>
      <x:c r="E12" s="18" t="str">
        <x:v>tower_DR_SLW</x:v>
      </x:c>
      <x:c r="F12" s="18" t="str">
        <x:v>nacelle_DR_SLW</x:v>
      </x:c>
      <x:c r="G12" s="18" t="str">
        <x:v>foundation_DR_SLW</x:v>
      </x:c>
      <x:c r="H12" s="18" t="str">
        <x:v>total_loss_pct_phys_SLW</x:v>
      </x:c>
      <x:c r="I12" s="18" t="str">
        <x:v>total_loss_pct_TIV_SLW</x:v>
      </x:c>
      <x:c r="J12" s="18" t="str">
        <x:v>blade_DR_TOR</x:v>
      </x:c>
      <x:c r="K12" s="18" t="str">
        <x:v>tower_DR_TOR</x:v>
      </x:c>
      <x:c r="L12" s="18" t="str">
        <x:v>nacelle_DR_TOR</x:v>
      </x:c>
      <x:c r="M12" s="18" t="str">
        <x:v>foundation_DR_TOR</x:v>
      </x:c>
      <x:c r="N12" s="18" t="str">
        <x:v>total_loss_pct_phys_TOR</x:v>
      </x:c>
      <x:c r="O12" s="18" t="str">
        <x:v>total_loss_pct_TIV_TOR</x:v>
      </x:c>
      <x:c r="Q12" s="18" t="str">
        <x:v>curve_id</x:v>
      </x:c>
      <x:c r="R12" s="18" t="str">
        <x:v>max_dr</x:v>
      </x:c>
      <x:c r="S12" s="18" t="str">
        <x:v>d50</x:v>
      </x:c>
      <x:c r="T12" s="18" t="str">
        <x:v>k</x:v>
      </x:c>
      <x:c r="U12" s="18" t="str">
        <x:v>tor_shift</x:v>
      </x:c>
      <x:c r="V12" s="18" t="str">
        <x:v>value_share</x:v>
      </x:c>
    </x:row>
    <x:row r="13">
      <x:c r="A13" s="30" t="n">
        <x:v>20</x:v>
      </x:c>
      <x:c r="B13" s="30" t="n">
        <x:f>A13*2.236936</x:f>
        <x:v>44.73872</x:v>
      </x:c>
      <x:c r="C13" s="30" t="n">
        <x:f>A13/$B$5</x:f>
        <x:v>0.33613445378151263</x:v>
      </x:c>
      <x:c r="D13" s="32" t="n">
        <x:f>$R$13/(1+EXP(-$T$13*($C13-$S$13)))</x:f>
        <x:v>0.0000036295924663220694</x:v>
      </x:c>
      <x:c r="E13" s="32" t="n">
        <x:f>$R$14/(1+EXP(-$T$14*($C13-$S$14)))</x:f>
        <x:v>0.00000343146100028895</x:v>
      </x:c>
      <x:c r="F13" s="32" t="n">
        <x:f>$R$15/(1+EXP(-$T$15*($C13-$S$15)))</x:f>
        <x:v>0.00001365792716841785</x:v>
      </x:c>
      <x:c r="G13" s="32" t="n">
        <x:f>$R$16/(1+EXP(-$T$16*($C13-$S$16)))</x:f>
        <x:v>0.000006233438682302673</x:v>
      </x:c>
      <x:c r="H13" s="32" t="n">
        <x:f>$B$8*(D13*$V$13+E13*$V$14+F13*$V$15+G13*$V$16)</x:f>
        <x:v>0.000006306294477129475</x:v>
      </x:c>
      <x:c r="I13" s="32" t="n">
        <x:f>H13*$B$9/$B$10</x:f>
        <x:v>0.000005200770292876595</x:v>
      </x:c>
      <x:c r="J13" s="32" t="n">
        <x:f>$R$13/(1+EXP(-$T$13*($C13-($S$13+$U$13))))</x:f>
        <x:v>0.000012050569891273086</x:v>
      </x:c>
      <x:c r="K13" s="32" t="n">
        <x:f>$R$14/(1+EXP(-$T$14*($C13-($S$14+$U$14))))</x:f>
        <x:v>0.000012845283538945618</x:v>
      </x:c>
      <x:c r="L13" s="32" t="n">
        <x:f>$R$15/(1+EXP(-$T$15*($C13-($S$15+$U$15))))</x:f>
        <x:v>0.00003712507022763608</x:v>
      </x:c>
      <x:c r="M13" s="32" t="n">
        <x:f>$R$16/(1+EXP(-$T$16*($C13-($S$16+$U$16))))</x:f>
        <x:v>0.00001280605395170559</x:v>
      </x:c>
      <x:c r="N13" s="32" t="n">
        <x:f>$B$7*(J13*$V$13+K13*$V$14+L13*$V$15+M13*$V$16)</x:f>
        <x:v>0.0000017857726082812248</x:v>
      </x:c>
      <x:c r="O13" s="32" t="n">
        <x:f>N13*$B$9/$B$10</x:f>
        <x:v>0.0000014727179589636321</x:v>
      </x:c>
      <x:c r="Q13" t="str">
        <x:v>WT_BLADE_STRUCT</x:v>
      </x:c>
      <x:c r="R13" t="n">
        <x:v>1</x:v>
      </x:c>
      <x:c r="S13" t="n">
        <x:v>1.38</x:v>
      </x:c>
      <x:c r="T13" t="n">
        <x:v>12</x:v>
      </x:c>
      <x:c r="U13" t="n">
        <x:v>-0.1</x:v>
      </x:c>
      <x:c r="V13" t="n">
        <x:v>0.173</x:v>
      </x:c>
    </x:row>
    <x:row r="14">
      <x:c r="A14" s="30" t="n">
        <x:v>25</x:v>
      </x:c>
      <x:c r="B14" s="30" t="n">
        <x:f>A14*2.236936</x:f>
        <x:v>55.9234</x:v>
      </x:c>
      <x:c r="C14" s="30" t="n">
        <x:f>A14/$B$5</x:f>
        <x:v>0.42016806722689076</x:v>
      </x:c>
      <x:c r="D14" s="32" t="n">
        <x:f>$R$13/(1+EXP(-$T$13*($C14-$S$13)))</x:f>
        <x:v>0.000009949451412078376</x:v>
      </x:c>
      <x:c r="E14" s="32" t="n">
        <x:f>$R$14/(1+EXP(-$T$14*($C14-$S$14)))</x:f>
        <x:v>0.000008648195177968303</x:v>
      </x:c>
      <x:c r="F14" s="32" t="n">
        <x:f>$R$15/(1+EXP(-$T$15*($C14-$S$15)))</x:f>
        <x:v>0.00003164673768601637</x:v>
      </x:c>
      <x:c r="G14" s="32" t="n">
        <x:f>$R$16/(1+EXP(-$T$16*($C14-$S$16)))</x:f>
        <x:v>0.000013279477743607264</x:v>
      </x:c>
      <x:c r="H14" s="32" t="n">
        <x:f>$B$8*(D14*$V$13+E14*$V$14+F14*$V$15+G14*$V$16)</x:f>
        <x:v>0.000014924252201145501</x:v>
      </x:c>
      <x:c r="I14" s="32" t="n">
        <x:f>H14*$B$9/$B$10</x:f>
        <x:v>0.000012307957989054445</x:v>
      </x:c>
      <x:c r="J14" s="32" t="n">
        <x:f>$R$13/(1+EXP(-$T$13*($C14-($S$13+$U$13))))</x:f>
        <x:v>0.000033032579484735714</x:v>
      </x:c>
      <x:c r="K14" s="32" t="n">
        <x:f>$R$14/(1+EXP(-$T$14*($C14-($S$14+$U$14))))</x:f>
        <x:v>0.00003237307063199727</x:v>
      </x:c>
      <x:c r="L14" s="32" t="n">
        <x:f>$R$15/(1+EXP(-$T$15*($C14-($S$15+$U$15))))</x:f>
        <x:v>0.00008601924897490796</x:v>
      </x:c>
      <x:c r="M14" s="32" t="n">
        <x:f>$R$16/(1+EXP(-$T$16*($C14-($S$16+$U$16))))</x:f>
        <x:v>0.00002728121240365736</x:v>
      </x:c>
      <x:c r="N14" s="32" t="n">
        <x:f>$B$7*(J14*$V$13+K14*$V$14+L14*$V$15+M14*$V$16)</x:f>
        <x:v>0.000004255376125303681</x:v>
      </x:c>
      <x:c r="O14" s="32" t="n">
        <x:f>N14*$B$9/$B$10</x:f>
        <x:v>0.0000035093879326056274</x:v>
      </x:c>
      <x:c r="Q14" t="str">
        <x:v>WT_TOWER_STRUCT</x:v>
      </x:c>
      <x:c r="R14" t="n">
        <x:v>1</x:v>
      </x:c>
      <x:c r="S14" t="n">
        <x:v>1.48</x:v>
      </x:c>
      <x:c r="T14" t="n">
        <x:v>11</x:v>
      </x:c>
      <x:c r="U14" t="n">
        <x:v>-0.12</x:v>
      </x:c>
      <x:c r="V14" t="n">
        <x:v>0.169</x:v>
      </x:c>
    </x:row>
    <x:row r="15">
      <x:c r="A15" s="30" t="n">
        <x:v>30</x:v>
      </x:c>
      <x:c r="B15" s="30" t="n">
        <x:f>A15*2.236936</x:f>
        <x:v>67.10808</x:v>
      </x:c>
      <x:c r="C15" s="30" t="n">
        <x:f>A15/$B$5</x:f>
        <x:v>0.5042016806722689</x:v>
      </x:c>
      <x:c r="D15" s="32" t="n">
        <x:f>$R$13/(1+EXP(-$T$13*($C15-$S$13)))</x:f>
        <x:v>0.000027273170475363238</x:v>
      </x:c>
      <x:c r="E15" s="32" t="n">
        <x:f>$R$14/(1+EXP(-$T$14*($C15-$S$14)))</x:f>
        <x:v>0.000021795581146362943</x:v>
      </x:c>
      <x:c r="F15" s="32" t="n">
        <x:f>$R$15/(1+EXP(-$T$15*($C15-$S$15)))</x:f>
        <x:v>0.00007332650685346142</x:v>
      </x:c>
      <x:c r="G15" s="32" t="n">
        <x:f>$R$16/(1+EXP(-$T$16*($C15-$S$16)))</x:f>
        <x:v>0.000028289741401798125</x:v>
      </x:c>
      <x:c r="H15" s="32" t="n">
        <x:f>$B$8*(D15*$V$13+E15*$V$14+F15*$V$15+G15*$V$16)</x:f>
        <x:v>0.000035453320537328845</x:v>
      </x:c>
      <x:c r="I15" s="32" t="n">
        <x:f>H15*$B$9/$B$10</x:f>
        <x:v>0.000029238180504108087</x:v>
      </x:c>
      <x:c r="J15" s="32" t="n">
        <x:f>$R$13/(1+EXP(-$T$13*($C15-($S$13+$U$13))))</x:f>
        <x:v>0.00009054438545989181</x:v>
      </x:c>
      <x:c r="K15" s="32" t="n">
        <x:f>$R$14/(1+EXP(-$T$14*($C15-($S$14+$U$14))))</x:f>
        <x:v>0.00008158516605190592</x:v>
      </x:c>
      <x:c r="L15" s="32" t="n">
        <x:f>$R$15/(1+EXP(-$T$15*($C15-($S$15+$U$15))))</x:f>
        <x:v>0.00019929256996204886</x:v>
      </x:c>
      <x:c r="M15" s="32" t="n">
        <x:f>$R$16/(1+EXP(-$T$16*($C15-($S$16+$U$16))))</x:f>
        <x:v>0.00005811671717804706</x:v>
      </x:c>
      <x:c r="N15" s="32" t="n">
        <x:f>$B$7*(J15*$V$13+K15*$V$14+L15*$V$15+M15*$V$16)</x:f>
        <x:v>0.000010181124484927916</x:v>
      </x:c>
      <x:c r="O15" s="32" t="n">
        <x:f>N15*$B$9/$B$10</x:f>
        <x:v>0.000008396323698698175</x:v>
      </x:c>
      <x:c r="Q15" t="str">
        <x:v>WT_NACELLE_CONSEQ</x:v>
      </x:c>
      <x:c r="R15" t="n">
        <x:v>0.85</x:v>
      </x:c>
      <x:c r="S15" t="n">
        <x:v>1.44</x:v>
      </x:c>
      <x:c r="T15" t="n">
        <x:v>10</x:v>
      </x:c>
      <x:c r="U15" t="n">
        <x:v>-0.1</x:v>
      </x:c>
      <x:c r="V15" t="n">
        <x:v>0.345</x:v>
      </x:c>
    </x:row>
    <x:row r="16">
      <x:c r="A16" s="30" t="n">
        <x:v>35</x:v>
      </x:c>
      <x:c r="B16" s="30" t="n">
        <x:f>A16*2.236936</x:f>
        <x:v>78.29276</x:v>
      </x:c>
      <x:c r="C16" s="30" t="n">
        <x:f>A16/$B$5</x:f>
        <x:v>0.5882352941176471</x:v>
      </x:c>
      <x:c r="D16" s="32" t="n">
        <x:f>$R$13/(1+EXP(-$T$13*($C16-$S$13)))</x:f>
        <x:v>0.0000747582314806149</x:v>
      </x:c>
      <x:c r="E16" s="32" t="n">
        <x:f>$R$14/(1+EXP(-$T$14*($C16-$S$14)))</x:f>
        <x:v>0.0000549291329511986</x:v>
      </x:c>
      <x:c r="F16" s="32" t="n">
        <x:f>$R$15/(1+EXP(-$T$15*($C16-$S$15)))</x:f>
        <x:v>0.00016988889768611003</x:v>
      </x:c>
      <x:c r="G16" s="32" t="n">
        <x:f>$R$16/(1+EXP(-$T$16*($C16-$S$16)))</x:f>
        <x:v>0.00006026506418880539</x:v>
      </x:c>
      <x:c r="H16" s="32" t="n">
        <x:f>$B$8*(D16*$V$13+E16*$V$14+F16*$V$15+G16*$V$16)</x:f>
        <x:v>0.00008456430119631283</x:v>
      </x:c>
      <x:c r="I16" s="32" t="n">
        <x:f>H16*$B$9/$B$10</x:f>
        <x:v>0.00006973976668781288</x:v>
      </x:c>
      <x:c r="J16" s="32" t="n">
        <x:f>$R$13/(1+EXP(-$T$13*($C16-($S$13+$U$13))))</x:f>
        <x:v>0.00024816302611230213</x:v>
      </x:c>
      <x:c r="K16" s="32" t="n">
        <x:f>$R$14/(1+EXP(-$T$14*($C16-($S$14+$U$14))))</x:f>
        <x:v>0.00020559190910661112</x:v>
      </x:c>
      <x:c r="L16" s="32" t="n">
        <x:f>$R$15/(1+EXP(-$T$15*($C16-($S$15+$U$15))))</x:f>
        <x:v>0.00046164735906677206</x:v>
      </x:c>
      <x:c r="M16" s="32" t="n">
        <x:f>$R$16/(1+EXP(-$T$16*($C16-($S$16+$U$16))))</x:f>
        <x:v>0.0001237984464920831</x:v>
      </x:c>
      <x:c r="N16" s="32" t="n">
        <x:f>$B$7*(J16*$V$13+K16*$V$14+L16*$V$15+M16*$V$16)</x:f>
        <x:v>0.00002446210787169911</x:v>
      </x:c>
      <x:c r="O16" s="32" t="n">
        <x:f>N16*$B$9/$B$10</x:f>
        <x:v>0.000020173781034434784</x:v>
      </x:c>
      <x:c r="Q16" t="str">
        <x:v>WT_FOUNDATION_OT</x:v>
      </x:c>
      <x:c r="R16" t="n">
        <x:v>0.65</x:v>
      </x:c>
      <x:c r="S16" t="n">
        <x:v>1.62</x:v>
      </x:c>
      <x:c r="T16" t="n">
        <x:v>9</x:v>
      </x:c>
      <x:c r="U16" t="n">
        <x:v>-0.08</x:v>
      </x:c>
      <x:c r="V16" t="n">
        <x:v>0.062</x:v>
      </x:c>
    </x:row>
    <x:row r="17">
      <x:c r="A17" s="30" t="n">
        <x:v>40</x:v>
      </x:c>
      <x:c r="B17" s="30" t="n">
        <x:f>A17*2.236936</x:f>
        <x:v>89.47744</x:v>
      </x:c>
      <x:c r="C17" s="30" t="n">
        <x:f>A17/$B$5</x:f>
        <x:v>0.6722689075630253</x:v>
      </x:c>
      <x:c r="D17" s="32" t="n">
        <x:f>$R$13/(1+EXP(-$T$13*($C17-$S$13)))</x:f>
        <x:v>0.0002049021453828787</x:v>
      </x:c>
      <x:c r="E17" s="32" t="n">
        <x:f>$R$14/(1+EXP(-$T$14*($C17-$S$14)))</x:f>
        <x:v>0.0001384251998397528</x:v>
      </x:c>
      <x:c r="F17" s="32" t="n">
        <x:f>$R$15/(1+EXP(-$T$15*($C17-$S$15)))</x:f>
        <x:v>0.00039355372611165414</x:v>
      </x:c>
      <x:c r="G17" s="32" t="n">
        <x:f>$R$16/(1+EXP(-$T$16*($C17-$S$16)))</x:f>
        <x:v>0.00012837430976115672</x:v>
      </x:c>
      <x:c r="H17" s="32" t="n">
        <x:f>$B$8*(D17*$V$13+E17*$V$14+F17*$V$15+G17*$V$16)</x:f>
        <x:v>0.0002025771726378686</x:v>
      </x:c>
      <x:c r="I17" s="32" t="n">
        <x:f>H17*$B$9/$B$10</x:f>
        <x:v>0.0001670644060931203</x:v>
      </x:c>
      <x:c r="J17" s="32" t="n">
        <x:f>$R$13/(1+EXP(-$T$13*($C17-($S$13+$U$13))))</x:f>
        <x:v>0.0006799758219690776</x:v>
      </x:c>
      <x:c r="K17" s="32" t="n">
        <x:f>$R$14/(1+EXP(-$T$14*($C17-($S$14+$U$14))))</x:f>
        <x:v>0.0005179871421326855</x:v>
      </x:c>
      <x:c r="L17" s="32" t="n">
        <x:f>$R$15/(1+EXP(-$T$15*($C17-($S$15+$U$15))))</x:f>
        <x:v>0.0010689395238365547</x:v>
      </x:c>
      <x:c r="M17" s="32" t="n">
        <x:f>$R$16/(1+EXP(-$T$16*($C17-($S$16+$U$16))))</x:f>
        <x:v>0.00026368153383520676</x:v>
      </x:c>
      <x:c r="N17" s="32" t="n">
        <x:f>$B$7*(J17*$V$13+K17*$V$14+L17*$V$15+M17*$V$16)</x:f>
        <x:v>0.00005903080350424685</x:v>
      </x:c>
      <x:c r="O17" s="32" t="n">
        <x:f>N17*$B$9/$B$10</x:f>
        <x:v>0.00004868241569481333</x:v>
      </x:c>
    </x:row>
    <x:row r="18">
      <x:c r="A18" s="30" t="n">
        <x:v>45</x:v>
      </x:c>
      <x:c r="B18" s="30" t="n">
        <x:f>A18*2.236936</x:f>
        <x:v>100.66212</x:v>
      </x:c>
      <x:c r="C18" s="30" t="n">
        <x:f>A18/$B$5</x:f>
        <x:v>0.7563025210084033</x:v>
      </x:c>
      <x:c r="D18" s="32" t="n">
        <x:f>$R$13/(1+EXP(-$T$13*($C18-$S$13)))</x:f>
        <x:v>0.0005614816934350375</x:v>
      </x:c>
      <x:c r="E18" s="32" t="n">
        <x:f>$R$14/(1+EXP(-$T$14*($C18-$S$14)))</x:f>
        <x:v>0.00034879676992054465</x:v>
      </x:c>
      <x:c r="F18" s="32" t="n">
        <x:f>$R$15/(1+EXP(-$T$15*($C18-$S$15)))</x:f>
        <x:v>0.0009113655403944974</x:v>
      </x:c>
      <x:c r="G18" s="32" t="n">
        <x:f>$R$16/(1+EXP(-$T$16*($C18-$S$16)))</x:f>
        <x:v>0.00027342560876596433</x:v>
      </x:c>
      <x:c r="H18" s="32" t="n">
        <x:f>$B$8*(D18*$V$13+E18*$V$14+F18*$V$15+G18*$V$16)</x:f>
        <x:v>0.00048745648626042493</x:v>
      </x:c>
      <x:c r="I18" s="32" t="n">
        <x:f>H18*$B$9/$B$10</x:f>
        <x:v>0.0004020029863824541</x:v>
      </x:c>
      <x:c r="J18" s="32" t="n">
        <x:f>$R$13/(1+EXP(-$T$13*($C18-($S$13+$U$13))))</x:f>
        <x:v>0.0018617595520938719</x:v>
      </x:c>
      <x:c r="K18" s="32" t="n">
        <x:f>$R$14/(1+EXP(-$T$14*($C18-($S$14+$U$14))))</x:f>
        <x:v>0.0013044450659026418</x:v>
      </x:c>
      <x:c r="L18" s="32" t="n">
        <x:f>$R$15/(1+EXP(-$T$15*($C18-($S$15+$U$15))))</x:f>
        <x:v>0.002472792680570692</x:v>
      </x:c>
      <x:c r="M18" s="32" t="n">
        <x:f>$R$16/(1+EXP(-$T$16*($C18-($S$16+$U$16))))</x:f>
        <x:v>0.0005614856030176329</x:v>
      </x:c>
      <x:c r="N18" s="32" t="n">
        <x:f>$B$7*(J18*$V$13+K18*$V$14+L18*$V$15+M18*$V$16)</x:f>
        <x:v>0.00014304612008337683</x:v>
      </x:c>
      <x:c r="O18" s="32" t="n">
        <x:f>N18*$B$9/$B$10</x:f>
        <x:v>0.00011796943744680924</x:v>
      </x:c>
    </x:row>
    <x:row r="19">
      <x:c r="A19" s="30" t="n">
        <x:v>50</x:v>
      </x:c>
      <x:c r="B19" s="30" t="n">
        <x:f>A19*2.236936</x:f>
        <x:v>111.8468</x:v>
      </x:c>
      <x:c r="C19" s="30" t="n">
        <x:f>A19/$B$5</x:f>
        <x:v>0.8403361344537815</x:v>
      </x:c>
      <x:c r="D19" s="32" t="n">
        <x:f>$R$13/(1+EXP(-$T$13*($C19-$S$13)))</x:f>
        <x:v>0.0015376419890771411</x:v>
      </x:c>
      <x:c r="E19" s="32" t="n">
        <x:f>$R$14/(1+EXP(-$T$14*($C19-$S$14)))</x:f>
        <x:v>0.0008785994023915268</x:v>
      </x:c>
      <x:c r="F19" s="32" t="n">
        <x:f>$R$15/(1+EXP(-$T$15*($C19-$S$15)))</x:f>
        <x:v>0.0021087886510391795</x:v>
      </x:c>
      <x:c r="G19" s="32" t="n">
        <x:f>$R$16/(1+EXP(-$T$16*($C19-$S$16)))</x:f>
        <x:v>0.0005822248538878787</x:v>
      </x:c>
      <x:c r="H19" s="32" t="n">
        <x:f>$B$8*(D19*$V$13+E19*$V$14+F19*$V$15+G19*$V$16)</x:f>
        <x:v>0.0011781253886640787</x:v>
      </x:c>
      <x:c r="I19" s="32" t="n">
        <x:f>H19*$B$9/$B$10</x:f>
        <x:v>0.0009715942610781503</x:v>
      </x:c>
      <x:c r="J19" s="32" t="n">
        <x:f>$R$13/(1+EXP(-$T$13*($C19-($S$13+$U$13))))</x:f>
        <x:v>0.005087003258121691</x:v>
      </x:c>
      <x:c r="K19" s="32" t="n">
        <x:f>$R$14/(1+EXP(-$T$14*($C19-($S$14+$U$14))))</x:f>
        <x:v>0.0032810592235472873</x:v>
      </x:c>
      <x:c r="L19" s="32" t="n">
        <x:f>$R$15/(1+EXP(-$T$15*($C19-($S$15+$U$15))))</x:f>
        <x:v>0.0057079492637658125</x:v>
      </x:c>
      <x:c r="M19" s="32" t="n">
        <x:f>$R$16/(1+EXP(-$T$16*($C19-($S$16+$U$16))))</x:f>
        <x:v>0.0011950134000329239</x:v>
      </x:c>
      <x:c r="N19" s="32" t="n">
        <x:f>$B$7*(J19*$V$13+K19*$V$14+L19*$V$15+M19*$V$16)</x:f>
        <x:v>0.000347788389923579</x:v>
      </x:c>
      <x:c r="O19" s="32" t="n">
        <x:f>N19*$B$9/$B$10</x:f>
        <x:v>0.0002868193886412443</x:v>
      </x:c>
    </x:row>
    <x:row r="20">
      <x:c r="A20" s="30" t="n">
        <x:v>55</x:v>
      </x:c>
      <x:c r="B20" s="30" t="n">
        <x:f>A20*2.236936</x:f>
        <x:v>123.03148</x:v>
      </x:c>
      <x:c r="C20" s="30" t="n">
        <x:f>A20/$B$5</x:f>
        <x:v>0.9243697478991597</x:v>
      </x:c>
      <x:c r="D20" s="32" t="n">
        <x:f>$R$13/(1+EXP(-$T$13*($C20-$S$13)))</x:f>
        <x:v>0.004203761131224927</x:v>
      </x:c>
      <x:c r="E20" s="32" t="n">
        <x:f>$R$14/(1+EXP(-$T$14*($C20-$S$14)))</x:f>
        <x:v>0.0022113621763133686</x:v>
      </x:c>
      <x:c r="F20" s="32" t="n">
        <x:f>$R$15/(1+EXP(-$T$15*($C20-$S$15)))</x:f>
        <x:v>0.004870455195649956</x:v>
      </x:c>
      <x:c r="G20" s="32" t="n">
        <x:f>$R$16/(1+EXP(-$T$16*($C20-$S$16)))</x:f>
        <x:v>0.0012391082334026863</x:v>
      </x:c>
      <x:c r="H20" s="32" t="n">
        <x:f>$B$8*(D20*$V$13+E20*$V$14+F20*$V$15+G20*$V$16)</x:f>
        <x:v>0.002858102636469073</x:v>
      </x:c>
      <x:c r="I20" s="32" t="n">
        <x:f>H20*$B$9/$B$10</x:f>
        <x:v>0.002357063302331964</x:v>
      </x:c>
      <x:c r="J20" s="32" t="n">
        <x:f>$R$13/(1+EXP(-$T$13*($C20-($S$13+$U$13))))</x:f>
        <x:v>0.013822167863642152</x:v>
      </x:c>
      <x:c r="K20" s="32" t="n">
        <x:f>$R$14/(1+EXP(-$T$14*($C20-($S$14+$U$14))))</x:f>
        <x:v>0.00822814278410562</x:v>
      </x:c>
      <x:c r="L20" s="32" t="n">
        <x:f>$R$15/(1+EXP(-$T$15*($C20-($S$15+$U$15))))</x:f>
        <x:v>0.01311019131203038</x:v>
      </x:c>
      <x:c r="M20" s="32" t="n">
        <x:f>$R$16/(1+EXP(-$T$16*($C20-($S$16+$U$16))))</x:f>
        <x:v>0.0025405583616871885</x:v>
      </x:c>
      <x:c r="N20" s="32" t="n">
        <x:f>$B$7*(J20*$V$13+K20*$V$14+L20*$V$15+M20*$V$16)</x:f>
        <x:v>0.0008462321791999029</x:v>
      </x:c>
      <x:c r="O20" s="32" t="n">
        <x:f>N20*$B$9/$B$10</x:f>
        <x:v>0.0006978835502243101</x:v>
      </x:c>
    </x:row>
    <x:row r="21">
      <x:c r="A21" s="30" t="n">
        <x:v>60</x:v>
      </x:c>
      <x:c r="B21" s="30" t="n">
        <x:f>A21*2.236936</x:f>
        <x:v>134.21616</x:v>
      </x:c>
      <x:c r="C21" s="30" t="n">
        <x:f>A21/$B$5</x:f>
        <x:v>1.0084033613445378</x:v>
      </x:c>
      <x:c r="D21" s="32" t="n">
        <x:f>$R$13/(1+EXP(-$T$13*($C21-$S$13)))</x:f>
        <x:v>0.011439702449159721</x:v>
      </x:c>
      <x:c r="E21" s="32" t="n">
        <x:f>$R$14/(1+EXP(-$T$14*($C21-$S$14)))</x:f>
        <x:v>0.005554576559024613</x:v>
      </x:c>
      <x:c r="F21" s="32" t="n">
        <x:f>$R$15/(1+EXP(-$T$15*($C21-$S$15)))</x:f>
        <x:v>0.011201018351567006</x:v>
      </x:c>
      <x:c r="G21" s="32" t="n">
        <x:f>$R$16/(1+EXP(-$T$16*($C21-$S$16)))</x:f>
        <x:v>0.0026341009242481857</x:v>
      </x:c>
      <x:c r="H21" s="32" t="n">
        <x:f>$B$8*(D21*$V$13+E21*$V$14+F21*$V$15+G21*$V$16)</x:f>
        <x:v>0.006945457550773796</x:v>
      </x:c>
      <x:c r="I21" s="32" t="n">
        <x:f>H21*$B$9/$B$10</x:f>
        <x:v>0.005727884961842414</x:v>
      </x:c>
      <x:c r="J21" s="32" t="n">
        <x:f>$R$13/(1+EXP(-$T$13*($C21-($S$13+$U$13))))</x:f>
        <x:v>0.036999138996792615</x:v>
      </x:c>
      <x:c r="K21" s="32" t="n">
        <x:f>$R$14/(1+EXP(-$T$14*($C21-($S$14+$U$14))))</x:f>
        <x:v>0.02048101971114308</x:v>
      </x:c>
      <x:c r="L21" s="32" t="n">
        <x:f>$R$15/(1+EXP(-$T$15*($C21-($S$15+$U$15))))</x:f>
        <x:v>0.0297733678089243</x:v>
      </x:c>
      <x:c r="M21" s="32" t="n">
        <x:f>$R$16/(1+EXP(-$T$16*($C21-($S$16+$U$16))))</x:f>
        <x:v>0.0053885588294109435</x:v>
      </x:c>
      <x:c r="N21" s="32" t="n">
        <x:f>$B$7*(J21*$V$13+K21*$V$14+L21*$V$15+M21*$V$16)</x:f>
        <x:v>0.0020468045919130665</x:v>
      </x:c>
      <x:c r="O21" s="32" t="n">
        <x:f>N21*$B$9/$B$10</x:f>
        <x:v>0.0016879897625380624</x:v>
      </x:c>
    </x:row>
    <x:row r="22">
      <x:c r="A22" s="30" t="n">
        <x:v>65</x:v>
      </x:c>
      <x:c r="B22" s="30" t="n">
        <x:f>A22*2.236936</x:f>
        <x:v>145.40084000000002</x:v>
      </x:c>
      <x:c r="C22" s="30" t="n">
        <x:f>A22/$B$5</x:f>
        <x:v>1.0924369747899159</x:v>
      </x:c>
      <x:c r="D22" s="32" t="n">
        <x:f>$R$13/(1+EXP(-$T$13*($C22-$S$13)))</x:f>
        <x:v>0.0307463128024287</x:v>
      </x:c>
      <x:c r="E22" s="32" t="n">
        <x:f>$R$14/(1+EXP(-$T$14*($C22-$S$14)))</x:f>
        <x:v>0.013881859119705504</x:v>
      </x:c>
      <x:c r="F22" s="32" t="n">
        <x:f>$R$15/(1+EXP(-$T$15*($C22-$S$15)))</x:f>
        <x:v>0.02551158935872894</x:v>
      </x:c>
      <x:c r="G22" s="32" t="n">
        <x:f>$R$16/(1+EXP(-$T$16*($C22-$S$16)))</x:f>
        <x:v>0.005586059158773035</x:v>
      </x:c>
      <x:c r="H22" s="32" t="n">
        <x:f>$B$8*(D22*$V$13+E22*$V$14+F22*$V$15+G22*$V$16)</x:f>
        <x:v>0.01681298030265581</x:v>
      </x:c>
      <x:c r="I22" s="32" t="n">
        <x:f>H22*$B$9/$B$10</x:f>
        <x:v>0.013865582841062183</x:v>
      </x:c>
      <x:c r="J22" s="32" t="n">
        <x:f>$R$13/(1+EXP(-$T$13*($C22-($S$13+$U$13))))</x:f>
        <x:v>0.09528424776031638</x:v>
      </x:c>
      <x:c r="K22" s="32" t="n">
        <x:f>$R$14/(1+EXP(-$T$14*($C22-($S$14+$U$14))))</x:f>
        <x:v>0.05005920401823099</x:v>
      </x:c>
      <x:c r="L22" s="32" t="n">
        <x:f>$R$15/(1+EXP(-$T$15*($C22-($S$15+$U$15))))</x:f>
        <x:v>0.06594669456352073</x:v>
      </x:c>
      <x:c r="M22" s="32" t="n">
        <x:f>$R$16/(1+EXP(-$T$16*($C22-($S$16+$U$16))))</x:f>
        <x:v>0.011373125230922597</x:v>
      </x:c>
      <x:c r="N22" s="32" t="n">
        <x:f>$B$7*(J22*$V$13+K22*$V$14+L22*$V$15+M22*$V$16)</x:f>
        <x:v>0.0048400923730347635</x:v>
      </x:c>
      <x:c r="O22" s="32" t="n">
        <x:f>N22*$B$9/$B$10</x:f>
        <x:v>0.003991600569835072</x:v>
      </x:c>
    </x:row>
    <x:row r="23">
      <x:c r="A23" s="30" t="n">
        <x:v>70</x:v>
      </x:c>
      <x:c r="B23" s="30" t="n">
        <x:f>A23*2.236936</x:f>
        <x:v>156.58552</x:v>
      </x:c>
      <x:c r="C23" s="30" t="n">
        <x:f>A23/$B$5</x:f>
        <x:v>1.1764705882352942</x:v>
      </x:c>
      <x:c r="D23" s="32" t="n">
        <x:f>$R$13/(1+EXP(-$T$13*($C23-$S$13)))</x:f>
        <x:v>0.0799995653336635</x:v>
      </x:c>
      <x:c r="E23" s="32" t="n">
        <x:f>$R$14/(1+EXP(-$T$14*($C23-$S$14)))</x:f>
        <x:v>0.03426306473106289</x:v>
      </x:c>
      <x:c r="F23" s="32" t="n">
        <x:f>$R$15/(1+EXP(-$T$15*($C23-$S$15)))</x:f>
        <x:v>0.05686602362746472</x:v>
      </x:c>
      <x:c r="G23" s="32" t="n">
        <x:f>$R$16/(1+EXP(-$T$16*($C23-$S$16)))</x:f>
        <x:v>0.011785960168262897</x:v>
      </x:c>
      <x:c r="H23" s="32" t="n">
        <x:f>$B$8*(D23*$V$13+E23*$V$14+F23*$V$15+G23*$V$16)</x:f>
        <x:v>0.03997989042418104</x:v>
      </x:c>
      <x:c r="I23" s="32" t="n">
        <x:f>H23*$B$9/$B$10</x:f>
        <x:v>0.03297122060896637</x:v>
      </x:c>
      <x:c r="J23" s="32" t="n">
        <x:f>$R$13/(1+EXP(-$T$13*($C23-($S$13+$U$13))))</x:f>
        <x:v>0.2240266878344234</x:v>
      </x:c>
      <x:c r="K23" s="32" t="n">
        <x:f>$R$14/(1+EXP(-$T$14*($C23-($S$14+$U$14))))</x:f>
        <x:v>0.11724069525132702</x:v>
      </x:c>
      <x:c r="L23" s="32" t="n">
        <x:f>$R$15/(1+EXP(-$T$15*($C23-($S$15+$U$15))))</x:f>
        <x:v>0.13864044876070022</x:v>
      </x:c>
      <x:c r="M23" s="32" t="n">
        <x:f>$R$16/(1+EXP(-$T$16*($C23-($S$16+$U$16))))</x:f>
        <x:v>0.023759209886423504</x:v>
      </x:c>
      <x:c r="N23" s="32" t="n">
        <x:f>$B$7*(J23*$V$13+K23*$V$14+L23*$V$15+M23*$V$16)</x:f>
        <x:v>0.010787432032822935</x:v>
      </x:c>
      <x:c r="O23" s="32" t="n">
        <x:f>N23*$B$9/$B$10</x:f>
        <x:v>0.008896342575849401</x:v>
      </x:c>
    </x:row>
    <x:row r="24">
      <x:c r="A24" s="30" t="n">
        <x:v>75</x:v>
      </x:c>
      <x:c r="B24" s="30" t="n">
        <x:f>A24*2.236936</x:f>
        <x:v>167.7702</x:v>
      </x:c>
      <x:c r="C24" s="30" t="n">
        <x:f>A24/$B$5</x:f>
        <x:v>1.2605042016806722</x:v>
      </x:c>
      <x:c r="D24" s="32" t="n">
        <x:f>$R$13/(1+EXP(-$T$13*($C24-$S$13)))</x:f>
        <x:v>0.19248403977860948</x:v>
      </x:c>
      <x:c r="E24" s="32" t="n">
        <x:f>$R$14/(1+EXP(-$T$14*($C24-$S$14)))</x:f>
        <x:v>0.08207714288668762</x:v>
      </x:c>
      <x:c r="F24" s="32" t="n">
        <x:f>$R$15/(1+EXP(-$T$15*($C24-$S$15)))</x:f>
        <x:v>0.1210960450102116</x:v>
      </x:c>
      <x:c r="G24" s="32" t="n">
        <x:f>$R$16/(1+EXP(-$T$16*($C24-$S$16)))</x:f>
        <x:v>0.024604327463379715</x:v>
      </x:c>
      <x:c r="H24" s="32" t="n">
        <x:f>$B$8*(D24*$V$13+E24*$V$14+F24*$V$15+G24*$V$16)</x:f>
        <x:v>0.09047437986080217</x:v>
      </x:c>
      <x:c r="I24" s="32" t="n">
        <x:f>H24*$B$9/$B$10</x:f>
        <x:v>0.07461377973276521</x:v>
      </x:c>
      <x:c r="J24" s="32" t="n">
        <x:f>$R$13/(1+EXP(-$T$13*($C24-($S$13+$U$13))))</x:f>
        <x:v>0.4417779160125596</x:v>
      </x:c>
      <x:c r="K24" s="32" t="n">
        <x:f>$R$14/(1+EXP(-$T$14*($C24-($S$14+$U$14))))</x:f>
        <x:v>0.250780530427178</x:v>
      </x:c>
      <x:c r="L24" s="32" t="n">
        <x:f>$R$15/(1+EXP(-$T$15*($C24-($S$15+$U$15))))</x:f>
        <x:v>0.2644393238985461</x:v>
      </x:c>
      <x:c r="M24" s="32" t="n">
        <x:f>$R$16/(1+EXP(-$T$16*($C24-($S$16+$U$16))))</x:f>
        <x:v>0.04860784965019415</x:v>
      </x:c>
      <x:c r="N24" s="32" t="n">
        <x:f>$B$7*(J24*$V$13+K24*$V$14+L24*$V$15+M24*$V$16)</x:f>
        <x:v>0.02130547425356763</x:v>
      </x:c>
      <x:c r="O24" s="32" t="n">
        <x:f>N24*$B$9/$B$10</x:f>
        <x:v>0.017570520687774524</x:v>
      </x:c>
    </x:row>
    <x:row r="25">
      <x:c r="A25" s="30" t="n">
        <x:v>80</x:v>
      </x:c>
      <x:c r="B25" s="30" t="n">
        <x:f>A25*2.236936</x:f>
        <x:v>178.95488</x:v>
      </x:c>
      <x:c r="C25" s="30" t="n">
        <x:f>A25/$B$5</x:f>
        <x:v>1.3445378151260505</x:v>
      </x:c>
      <x:c r="D25" s="32" t="n">
        <x:f>$R$13/(1+EXP(-$T$13*($C25-$S$13)))</x:f>
        <x:v>0.3951903534368142</x:v>
      </x:c>
      <x:c r="E25" s="32" t="n">
        <x:f>$R$14/(1+EXP(-$T$14*($C25-$S$14)))</x:f>
        <x:v>0.18390911476917426</x:v>
      </x:c>
      <x:c r="F25" s="32" t="n">
        <x:f>$R$15/(1+EXP(-$T$15*($C25-$S$15)))</x:f>
        <x:v>0.2362628392283772</x:v>
      </x:c>
      <x:c r="G25" s="32" t="n">
        <x:f>$R$16/(1+EXP(-$T$16*($C25-$S$16)))</x:f>
        <x:v>0.050265891264869404</x:v>
      </x:c>
      <x:c r="H25" s="32" t="n">
        <x:f>$B$8*(D25*$V$13+E25*$V$14+F25*$V$15+G25*$V$16)</x:f>
        <x:v>0.18407573633277133</x:v>
      </x:c>
      <x:c r="I25" s="32" t="n">
        <x:f>H25*$B$9/$B$10</x:f>
        <x:v>0.15180636182321539</x:v>
      </x:c>
      <x:c r="J25" s="32" t="n">
        <x:f>$R$13/(1+EXP(-$T$13*($C25-($S$13+$U$13))))</x:f>
        <x:v>0.6844835476883787</x:v>
      </x:c>
      <x:c r="K25" s="32" t="n">
        <x:f>$R$14/(1+EXP(-$T$14*($C25-($S$14+$U$14))))</x:f>
        <x:v>0.4575812019542071</x:v>
      </x:c>
      <x:c r="L25" s="32" t="n">
        <x:f>$R$15/(1+EXP(-$T$15*($C25-($S$15+$U$15))))</x:f>
        <x:v>0.43464120278802604</x:v>
      </x:c>
      <x:c r="M25" s="32" t="n">
        <x:f>$R$16/(1+EXP(-$T$16*($C25-($S$16+$U$16))))</x:f>
        <x:v>0.09548215118503181</x:v>
      </x:c>
      <x:c r="N25" s="32" t="n">
        <x:f>$B$7*(J25*$V$13+K25*$V$14+L25*$V$15+M25*$V$16)</x:f>
        <x:v>0.03516179852156915</x:v>
      </x:c>
      <x:c r="O25" s="32" t="n">
        <x:f>N25*$B$9/$B$10</x:f>
        <x:v>0.028997763719769677</x:v>
      </x:c>
    </x:row>
    <x:row r="26">
      <x:c r="A26" s="30" t="n">
        <x:v>85</x:v>
      </x:c>
      <x:c r="B26" s="30" t="n">
        <x:f>A26*2.236936</x:f>
        <x:v>190.13956000000002</x:v>
      </x:c>
      <x:c r="C26" s="30" t="n">
        <x:f>A26/$B$5</x:f>
        <x:v>1.4285714285714286</x:v>
      </x:c>
      <x:c r="D26" s="32" t="n">
        <x:f>$R$13/(1+EXP(-$T$13*($C26-$S$13)))</x:f>
        <x:v>0.641724569552223</x:v>
      </x:c>
      <x:c r="E26" s="32" t="n">
        <x:f>$R$14/(1+EXP(-$T$14*($C26-$S$14)))</x:f>
        <x:v>0.36222631799276866</x:v>
      </x:c>
      <x:c r="F26" s="32" t="n">
        <x:f>$R$15/(1+EXP(-$T$15*($C26-$S$15)))</x:f>
        <x:v>0.40074068466507473</x:v>
      </x:c>
      <x:c r="G26" s="32" t="n">
        <x:f>$R$16/(1+EXP(-$T$16*($C26-$S$16)))</x:f>
        <x:v>0.09847728251095227</x:v>
      </x:c>
      <x:c r="H26" s="32" t="n">
        <x:f>$B$8*(D26*$V$13+E26*$V$14+F26*$V$15+G26*$V$16)</x:f>
        <x:v>0.31659572599844227</x:v>
      </x:c>
      <x:c r="I26" s="32" t="n">
        <x:f>H26*$B$9/$B$10</x:f>
        <x:v>0.26109495086152024</x:v>
      </x:c>
      <x:c r="J26" s="32" t="n">
        <x:f>$R$13/(1+EXP(-$T$13*($C26-($S$13+$U$13))))</x:f>
        <x:v>0.8560493067482413</x:v>
      </x:c>
      <x:c r="K26" s="32" t="n">
        <x:f>$R$14/(1+EXP(-$T$14*($C26-($S$14+$U$14))))</x:f>
        <x:v>0.6801118168854853</x:v>
      </x:c>
      <x:c r="L26" s="32" t="n">
        <x:f>$R$15/(1+EXP(-$T$15*($C26-($S$15+$U$15))))</x:f>
        <x:v>0.6018042163897612</x:v>
      </x:c>
      <x:c r="M26" s="32" t="n">
        <x:f>$R$16/(1+EXP(-$T$16*($C26-($S$16+$U$16))))</x:f>
        <x:v>0.1744470285832508</x:v>
      </x:c>
      <x:c r="N26" s="32" t="n">
        <x:f>$B$7*(J26*$V$13+K26*$V$14+L26*$V$15+M26*$V$16)</x:f>
        <x:v>0.04814735975477219</x:v>
      </x:c>
      <x:c r="O26" s="32" t="n">
        <x:f>N26*$B$9/$B$10</x:f>
        <x:v>0.03970689272459109</x:v>
      </x:c>
    </x:row>
    <x:row r="27">
      <x:c r="A27" s="30" t="n">
        <x:v>90</x:v>
      </x:c>
      <x:c r="B27" s="30" t="n">
        <x:f>A27*2.236936</x:f>
        <x:v>201.32424</x:v>
      </x:c>
      <x:c r="C27" s="30" t="n">
        <x:f>A27/$B$5</x:f>
        <x:v>1.5126050420168067</x:v>
      </x:c>
      <x:c r="D27" s="32" t="n">
        <x:f>$R$13/(1+EXP(-$T$13*($C27-$S$13)))</x:f>
        <x:v>0.8307933732744526</x:v>
      </x:c>
      <x:c r="E27" s="32" t="n">
        <x:f>$R$14/(1+EXP(-$T$14*($C27-$S$14)))</x:f>
        <x:v>0.5887149204472313</x:v>
      </x:c>
      <x:c r="F27" s="32" t="n">
        <x:f>$R$15/(1+EXP(-$T$15*($C27-$S$15)))</x:f>
        <x:v>0.5728472717864252</x:v>
      </x:c>
      <x:c r="G27" s="32" t="n">
        <x:f>$R$16/(1+EXP(-$T$16*($C27-$S$16)))</x:f>
        <x:v>0.17911905150055504</x:v>
      </x:c>
      <x:c r="H27" s="32" t="n">
        <x:f>$B$8*(D27*$V$13+E27*$V$14+F27*$V$15+G27*$V$16)</x:f>
        <x:v>0.45195776509141344</x:v>
      </x:c>
      <x:c r="I27" s="32" t="n">
        <x:f>H27*$B$9/$B$10</x:f>
        <x:v>0.3727273641988638</x:v>
      </x:c>
      <x:c r="J27" s="32" t="n">
        <x:f>$R$13/(1+EXP(-$T$13*($C27-($S$13+$U$13))))</x:f>
        <x:v>0.9422017270725628</x:v>
      </x:c>
      <x:c r="K27" s="32" t="n">
        <x:f>$R$14/(1+EXP(-$T$14*($C27-($S$14+$U$14))))</x:f>
        <x:v>0.842726410050879</x:v>
      </x:c>
      <x:c r="L27" s="32" t="n">
        <x:f>$R$15/(1+EXP(-$T$15*($C27-($S$15+$U$15))))</x:f>
        <x:v>0.7215705489821492</x:v>
      </x:c>
      <x:c r="M27" s="32" t="n">
        <x:f>$R$16/(1+EXP(-$T$16*($C27-($S$16+$U$16))))</x:f>
        <x:v>0.28513660823054204</x:v>
      </x:c>
      <x:c r="N27" s="32" t="n">
        <x:f>$B$7*(J27*$V$13+K27*$V$14+L27*$V$15+M27*$V$16)</x:f>
        <x:v>0.0572041971191287</x:v>
      </x:c>
      <x:c r="O27" s="32" t="n">
        <x:f>N27*$B$9/$B$10</x:f>
        <x:v>0.047176022319281447</x:v>
      </x:c>
    </x:row>
    <x:row r="28">
      <x:c r="A28" s="30" t="n">
        <x:v>95</x:v>
      </x:c>
      <x:c r="B28" s="30" t="n">
        <x:f>A28*2.236936</x:f>
        <x:v>212.50892</x:v>
      </x:c>
      <x:c r="C28" s="30" t="n">
        <x:f>A28/$B$5</x:f>
        <x:v>1.596638655462185</x:v>
      </x:c>
      <x:c r="D28" s="32" t="n">
        <x:f>$R$13/(1+EXP(-$T$13*($C28-$S$13)))</x:f>
        <x:v>0.9308399434816059</x:v>
      </x:c>
      <x:c r="E28" s="32" t="n">
        <x:f>$R$14/(1+EXP(-$T$14*($C28-$S$14)))</x:f>
        <x:v>0.782964294076299</x:v>
      </x:c>
      <x:c r="F28" s="32" t="n">
        <x:f>$R$15/(1+EXP(-$T$15*($C28-$S$15)))</x:f>
        <x:v>0.7031776918532524</x:v>
      </x:c>
      <x:c r="G28" s="32" t="n">
        <x:f>$R$16/(1+EXP(-$T$16*($C28-$S$16)))</x:f>
        <x:v>0.2909593412800203</x:v>
      </x:c>
      <x:c r="H28" s="32" t="n">
        <x:f>$B$8*(D28*$V$13+E28*$V$14+F28*$V$15+G28*$V$16)</x:f>
        <x:v>0.5539920587699456</x:v>
      </x:c>
      <x:c r="I28" s="32" t="n">
        <x:f>H28*$B$9/$B$10</x:f>
        <x:v>0.4568745484672874</x:v>
      </x:c>
      <x:c r="J28" s="32" t="n">
        <x:f>$R$13/(1+EXP(-$T$13*($C28-($S$13+$U$13))))</x:f>
        <x:v>0.9781115337963373</x:v>
      </x:c>
      <x:c r="K28" s="32" t="n">
        <x:f>$R$14/(1+EXP(-$T$14*($C28-($S$14+$U$14))))</x:f>
        <x:v>0.9310560234368948</x:v>
      </x:c>
      <x:c r="L28" s="32" t="n">
        <x:f>$R$15/(1+EXP(-$T$15*($C28-($S$15+$U$15))))</x:f>
        <x:v>0.789366690051662</x:v>
      </x:c>
      <x:c r="M28" s="32" t="n">
        <x:f>$R$16/(1+EXP(-$T$16*($C28-($S$16+$U$16))))</x:f>
        <x:v>0.40608579328669675</x:v>
      </x:c>
      <x:c r="N28" s="32" t="n">
        <x:f>$B$7*(J28*$V$13+K28*$V$14+L28*$V$15+M28*$V$16)</x:f>
        <x:v>0.06240705905592001</x:v>
      </x:c>
      <x:c r="O28" s="32" t="n">
        <x:f>N28*$B$9/$B$10</x:f>
        <x:v>0.051466797178738914</x:v>
      </x:c>
    </x:row>
    <x:row r="29">
      <x:c r="A29" s="30" t="n">
        <x:v>100</x:v>
      </x:c>
      <x:c r="B29" s="30" t="n">
        <x:f>A29*2.236936</x:f>
        <x:v>223.6936</x:v>
      </x:c>
      <x:c r="C29" s="30" t="n">
        <x:f>A29/$B$5</x:f>
        <x:v>1.680672268907563</x:v>
      </x:c>
      <x:c r="D29" s="32" t="n">
        <x:f>$R$13/(1+EXP(-$T$13*($C29-$S$13)))</x:f>
        <x:v>0.9736110679225392</x:v>
      </x:c>
      <x:c r="E29" s="32" t="n">
        <x:f>$R$14/(1+EXP(-$T$14*($C29-$S$14)))</x:f>
        <x:v>0.9009116178003373</x:v>
      </x:c>
      <x:c r="F29" s="32" t="n">
        <x:f>$R$15/(1+EXP(-$T$15*($C29-$S$15)))</x:f>
        <x:v>0.7797377315732154</x:v>
      </x:c>
      <x:c r="G29" s="32" t="n">
        <x:f>$R$16/(1+EXP(-$T$16*($C29-$S$16)))</x:f>
        <x:v>0.41159220295917576</x:v>
      </x:c>
      <x:c r="H29" s="32" t="n">
        <x:f>$B$8*(D29*$V$13+E29*$V$14+F29*$V$15+G29*$V$16)</x:f>
        <x:v>0.6152170121350846</x:v>
      </x:c>
      <x:c r="I29" s="32" t="n">
        <x:f>H29*$B$9/$B$10</x:f>
        <x:v>0.5073664688492084</x:v>
      </x:c>
      <x:c r="J29" s="32" t="n">
        <x:f>$R$13/(1+EXP(-$T$13*($C29-($S$13+$U$13))))</x:f>
        <x:v>0.9919024821915038</x:v>
      </x:c>
      <x:c r="K29" s="32" t="n">
        <x:f>$R$14/(1+EXP(-$T$14*($C29-($S$14+$U$14))))</x:f>
        <x:v>0.9714572682353427</x:v>
      </x:c>
      <x:c r="L29" s="32" t="n">
        <x:f>$R$15/(1+EXP(-$T$15*($C29-($S$15+$U$15))))</x:f>
        <x:v>0.822726880113046</x:v>
      </x:c>
      <x:c r="M29" s="32" t="n">
        <x:f>$R$16/(1+EXP(-$T$16*($C29-($S$16+$U$16))))</x:f>
        <x:v>0.5070428319777933</x:v>
      </x:c>
      <x:c r="N29" s="32" t="n">
        <x:f>$B$7*(J29*$V$13+K29*$V$14+L29*$V$15+M29*$V$16)</x:f>
        <x:v>0.06510528369725271</x:v>
      </x:c>
      <x:c r="O29" s="32" t="n">
        <x:f>N29*$B$9/$B$10</x:f>
        <x:v>0.05369200987837457</x:v>
      </x:c>
    </x:row>
    <x:row r="30">
      <x:c r="A30" s="30" t="n">
        <x:v>105</x:v>
      </x:c>
      <x:c r="B30" s="30" t="n">
        <x:f>A30*2.236936</x:f>
        <x:v>234.87828000000002</x:v>
      </x:c>
      <x:c r="C30" s="30" t="n">
        <x:f>A30/$B$5</x:f>
        <x:v>1.7647058823529411</x:v>
      </x:c>
      <x:c r="D30" s="32" t="n">
        <x:f>$R$13/(1+EXP(-$T$13*($C30-$S$13)))</x:f>
        <x:v>0.9902091759908338</x:v>
      </x:c>
      <x:c r="E30" s="32" t="n">
        <x:f>$R$14/(1+EXP(-$T$14*($C30-$S$14)))</x:f>
        <x:v>0.9581841571024265</x:v>
      </x:c>
      <x:c r="F30" s="32" t="n">
        <x:f>$R$15/(1+EXP(-$T$15*($C30-$S$15)))</x:f>
        <x:v>0.8181821894324125</x:v>
      </x:c>
      <x:c r="G30" s="32" t="n">
        <x:f>$R$16/(1+EXP(-$T$16*($C30-$S$16)))</x:f>
        <x:v>0.5110499633575276</x:v>
      </x:c>
      <x:c r="H30" s="32" t="n">
        <x:f>$B$8*(D30*$V$13+E30*$V$14+F30*$V$15+G30*$V$16)</x:f>
        <x:v>0.6471972630790733</x:v>
      </x:c>
      <x:c r="I30" s="32" t="n">
        <x:f>H30*$B$9/$B$10</x:f>
        <x:v>0.533740425801492</x:v>
      </x:c>
      <x:c r="J30" s="32" t="n">
        <x:f>$R$13/(1+EXP(-$T$13*($C30-($S$13+$U$13))))</x:f>
        <x:v>0.9970307451800956</x:v>
      </x:c>
      <x:c r="K30" s="32" t="n">
        <x:f>$R$14/(1+EXP(-$T$14*($C30-($S$14+$U$14))))</x:f>
        <x:v>0.98847636633515</x:v>
      </x:c>
      <x:c r="L30" s="32" t="n">
        <x:f>$R$15/(1+EXP(-$T$15*($C30-($S$15+$U$15))))</x:f>
        <x:v>0.8380112028202925</x:v>
      </x:c>
      <x:c r="M30" s="32" t="n">
        <x:f>$R$16/(1+EXP(-$T$16*($C30-($S$16+$U$16))))</x:f>
        <x:v>0.5740306579528588</x:v>
      </x:c>
      <x:c r="N30" s="32" t="n">
        <x:f>$B$7*(J30*$V$13+K30*$V$14+L30*$V$15+M30*$V$16)</x:f>
        <x:v>0.06642425905928749</x:v>
      </x:c>
      <x:c r="O30" s="32" t="n">
        <x:f>N30*$B$9/$B$10</x:f>
        <x:v>0.054779762425418495</x:v>
      </x:c>
    </x:row>
    <x:row r="31">
      <x:c r="A31" s="30" t="n">
        <x:v>110</x:v>
      </x:c>
      <x:c r="B31" s="30" t="n">
        <x:f>A31*2.236936</x:f>
        <x:v>246.06296</x:v>
      </x:c>
      <x:c r="C31" s="30" t="n">
        <x:f>A31/$B$5</x:f>
        <x:v>1.8487394957983194</x:v>
      </x:c>
      <x:c r="D31" s="32" t="n">
        <x:f>$R$13/(1+EXP(-$T$13*($C31-$S$13)))</x:f>
        <x:v>0.9964059460430341</x:v>
      </x:c>
      <x:c r="E31" s="32" t="n">
        <x:f>$R$14/(1+EXP(-$T$14*($C31-$S$14)))</x:f>
        <x:v>0.982978909196772</x:v>
      </x:c>
      <x:c r="F31" s="32" t="n">
        <x:f>$R$15/(1+EXP(-$T$15*($C31-$S$15)))</x:f>
        <x:v>0.8359700017223771</x:v>
      </x:c>
      <x:c r="G31" s="32" t="n">
        <x:f>$R$16/(1+EXP(-$T$16*($C31-$S$16)))</x:f>
        <x:v>0.576432537012444</x:v>
      </x:c>
      <x:c r="H31" s="32" t="n">
        <x:f>$B$8*(D31*$V$13+E31*$V$14+F31*$V$15+G31*$V$16)</x:f>
        <x:v>0.662650132208691</x:v>
      </x:c>
      <x:c r="I31" s="32" t="n">
        <x:f>H31*$B$9/$B$10</x:f>
        <x:v>0.546484331592838</x:v>
      </x:c>
      <x:c r="J31" s="32" t="n">
        <x:f>$R$13/(1+EXP(-$T$13*($C31-($S$13+$U$13))))</x:f>
        <x:v>0.9989147661364097</x:v>
      </x:c>
      <x:c r="K31" s="32" t="n">
        <x:f>$R$14/(1+EXP(-$T$14*($C31-($S$14+$U$14))))</x:f>
        <x:v>0.9953956301379178</x:v>
      </x:c>
      <x:c r="L31" s="32" t="n">
        <x:f>$R$15/(1+EXP(-$T$15*($C31-($S$15+$U$15))))</x:f>
        <x:v>0.8447842322855509</x:v>
      </x:c>
      <x:c r="M31" s="32" t="n">
        <x:f>$R$16/(1+EXP(-$T$16*($C31-($S$16+$U$16))))</x:f>
        <x:v>0.6119824411148547</x:v>
      </x:c>
      <x:c r="N31" s="32" t="n">
        <x:f>$B$7*(J31*$V$13+K31*$V$14+L31*$V$15+M31*$V$16)</x:f>
        <x:v>0.0670427587522543</x:v>
      </x:c>
      <x:c r="O31" s="32" t="n">
        <x:f>N31*$B$9/$B$10</x:f>
        <x:v>0.05528983610513654</x:v>
      </x:c>
    </x:row>
    <x:row r="32">
      <x:c r="A32" s="30" t="n">
        <x:v>115</x:v>
      </x:c>
      <x:c r="B32" s="30" t="n">
        <x:f>A32*2.236936</x:f>
        <x:v>257.24764</x:v>
      </x:c>
      <x:c r="C32" s="30" t="n">
        <x:f>A32/$B$5</x:f>
        <x:v>1.9327731092436975</x:v>
      </x:c>
      <x:c r="D32" s="32" t="n">
        <x:f>$R$13/(1+EXP(-$T$13*($C32-$S$13)))</x:f>
        <x:v>0.9986858855858595</x:v>
      </x:c>
      <x:c r="E32" s="32" t="n">
        <x:f>$R$14/(1+EXP(-$T$14*($C32-$S$14)))</x:f>
        <x:v>0.9931762854788325</x:v>
      </x:c>
      <x:c r="F32" s="32" t="n">
        <x:f>$R$15/(1+EXP(-$T$15*($C32-$S$15)))</x:f>
        <x:v>0.843887789798712</x:v>
      </x:c>
      <x:c r="G32" s="32" t="n">
        <x:f>$R$16/(1+EXP(-$T$16*($C32-$S$16)))</x:f>
        <x:v>0.6132612157427435</x:v>
      </x:c>
      <x:c r="H32" s="32" t="n">
        <x:f>$B$8*(D32*$V$13+E32*$V$14+F32*$V$15+G32*$V$16)</x:f>
        <x:v>0.6697829333088822</x:v>
      </x:c>
      <x:c r="I32" s="32" t="n">
        <x:f>H32*$B$9/$B$10</x:f>
        <x:v>0.5523667178660141</x:v>
      </x:c>
      <x:c r="J32" s="32" t="n">
        <x:f>$R$13/(1+EXP(-$T$13*($C32-($S$13+$U$13))))</x:f>
        <x:v>0.9996038325398294</x:v>
      </x:c>
      <x:c r="K32" s="32" t="n">
        <x:f>$R$14/(1+EXP(-$T$14*($C32-($S$14+$U$14))))</x:f>
        <x:v>0.9981679833027877</x:v>
      </x:c>
      <x:c r="L32" s="32" t="n">
        <x:f>$R$15/(1+EXP(-$T$15*($C32-($S$15+$U$15))))</x:f>
        <x:v>0.847741176099316</x:v>
      </x:c>
      <x:c r="M32" s="32" t="n">
        <x:f>$R$16/(1+EXP(-$T$16*($C32-($S$16+$U$16))))</x:f>
        <x:v>0.6315830495348007</x:v>
      </x:c>
      <x:c r="N32" s="32" t="n">
        <x:f>$B$7*(J32*$V$13+K32*$V$14+L32*$V$15+M32*$V$16)</x:f>
        <x:v>0.06732507070329832</x:v>
      </x:c>
      <x:c r="O32" s="32" t="n">
        <x:f>N32*$B$9/$B$10</x:f>
        <x:v>0.05552265739403109</x:v>
      </x:c>
    </x:row>
    <x:row r="33">
      <x:c r="A33" s="30"/>
      <x:c r="B33" s="30"/>
      <x:c r="C33" s="30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</x:row>
    <x:row r="34">
      <x:c r="A34" s="30"/>
      <x:c r="B34" s="30"/>
      <x:c r="C34" s="30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</x:row>
    <x:row r="35">
      <x:c r="A35" s="30"/>
      <x:c r="B35" s="30"/>
      <x:c r="C35" s="30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</x:row>
    <x:row r="36">
      <x:c r="A36" s="30"/>
      <x:c r="B36" s="30"/>
      <x:c r="C36" s="30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</x:row>
    <x:row r="37">
      <x:c r="A37" s="30"/>
      <x:c r="B37" s="30"/>
      <x:c r="C37" s="30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</x:row>
    <x:row r="38">
      <x:c r="A38" s="30"/>
      <x:c r="B38" s="30"/>
      <x:c r="C38" s="30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</x:row>
    <x:row r="39">
      <x:c r="A39" s="30"/>
      <x:c r="B39" s="30"/>
      <x:c r="C39" s="30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</x:row>
    <x:row r="40">
      <x:c r="A40" s="30"/>
      <x:c r="B40" s="30"/>
      <x:c r="C40" s="30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</x:row>
    <x:row r="41">
      <x:c r="A41" s="30"/>
      <x:c r="B41" s="30"/>
      <x:c r="C41" s="30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</x:row>
    <x:row r="42">
      <x:c r="A42" s="30"/>
      <x:c r="B42" s="30"/>
      <x:c r="C42" s="30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</x:row>
    <x:row r="43">
      <x:c r="A43" s="30"/>
      <x:c r="B43" s="30"/>
      <x:c r="C43" s="30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</x:row>
    <x:row r="44">
      <x:c r="A44" s="30"/>
      <x:c r="B44" s="30"/>
      <x:c r="C44" s="30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</x:row>
    <x:row r="45">
      <x:c r="A45" s="30"/>
      <x:c r="B45" s="30"/>
      <x:c r="C45" s="30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</x:row>
    <x:row r="46">
      <x:c r="A46" s="30"/>
      <x:c r="B46" s="30"/>
      <x:c r="C46" s="30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</x:row>
    <x:row r="47">
      <x:c r="A47" s="30"/>
      <x:c r="B47" s="30"/>
      <x:c r="C47" s="30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</x:row>
    <x:row r="48">
      <x:c r="A48" s="30"/>
      <x:c r="B48" s="30"/>
      <x:c r="C48" s="30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</x:row>
    <x:row r="49">
      <x:c r="A49" s="30"/>
      <x:c r="B49" s="30"/>
      <x:c r="C49" s="30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</x:row>
    <x:row r="50">
      <x:c r="A50" s="30"/>
      <x:c r="B50" s="30"/>
      <x:c r="C50" s="30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</x:row>
    <x:row r="51">
      <x:c r="A51" s="30"/>
      <x:c r="B51" s="30"/>
      <x:c r="C51" s="30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</x:row>
    <x:row r="52">
      <x:c r="A52" s="30"/>
      <x:c r="B52" s="30"/>
      <x:c r="C52" s="30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</x:row>
    <x:row r="53">
      <x:c r="A53" s="30"/>
      <x:c r="B53" s="30"/>
      <x:c r="C53" s="30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</x:row>
    <x:row r="54">
      <x:c r="A54" s="30"/>
      <x:c r="B54" s="30"/>
      <x:c r="C54" s="30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</x:row>
    <x:row r="55">
      <x:c r="A55" s="30"/>
      <x:c r="B55" s="30"/>
      <x:c r="C55" s="30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</x:row>
    <x:row r="56">
      <x:c r="A56" s="30"/>
      <x:c r="B56" s="30"/>
      <x:c r="C56" s="30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</x:row>
    <x:row r="57">
      <x:c r="A57" s="30"/>
      <x:c r="B57" s="30"/>
      <x:c r="C57" s="30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</x:row>
    <x:row r="58">
      <x:c r="A58" s="30"/>
      <x:c r="B58" s="30"/>
      <x:c r="C58" s="30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</x:row>
    <x:row r="59">
      <x:c r="A59" s="30"/>
      <x:c r="B59" s="30"/>
      <x:c r="C59" s="30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</x:row>
    <x:row r="60">
      <x:c r="A60" s="30"/>
      <x:c r="B60" s="30"/>
      <x:c r="C60" s="30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</x:row>
    <x:row r="61">
      <x:c r="A61" s="30"/>
      <x:c r="B61" s="30"/>
      <x:c r="C61" s="30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</x:row>
    <x:row r="62">
      <x:c r="A62" s="30"/>
      <x:c r="B62" s="30"/>
      <x:c r="C62" s="30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</x:row>
    <x:row r="63">
      <x:c r="A63" s="30"/>
      <x:c r="B63" s="30"/>
      <x:c r="C63" s="30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</x:row>
    <x:row r="64">
      <x:c r="A64" s="30"/>
      <x:c r="B64" s="30"/>
      <x:c r="C64" s="30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</x:row>
    <x:row r="65">
      <x:c r="A65" s="30"/>
      <x:c r="B65" s="30"/>
      <x:c r="C65" s="30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</x:row>
    <x:row r="66">
      <x:c r="A66" s="30"/>
      <x:c r="B66" s="30"/>
      <x:c r="C66" s="30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</x:row>
    <x:row r="67">
      <x:c r="A67" s="30"/>
      <x:c r="B67" s="30"/>
      <x:c r="C67" s="30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</x:row>
    <x:row r="68">
      <x:c r="A68" s="30"/>
      <x:c r="B68" s="30"/>
      <x:c r="C68" s="30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</x:row>
    <x:row r="69">
      <x:c r="A69" s="30"/>
      <x:c r="B69" s="30"/>
      <x:c r="C69" s="30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</x:row>
    <x:row r="70">
      <x:c r="A70" s="30"/>
      <x:c r="B70" s="30"/>
      <x:c r="C70" s="30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</x:row>
    <x:row r="71">
      <x:c r="A71" s="30"/>
      <x:c r="B71" s="30"/>
      <x:c r="C71" s="30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</x:row>
    <x:row r="72">
      <x:c r="A72" s="30"/>
      <x:c r="B72" s="30"/>
      <x:c r="C72" s="30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</x:row>
    <x:row r="73">
      <x:c r="A73" s="30"/>
      <x:c r="B73" s="30"/>
      <x:c r="C73" s="30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</x:row>
    <x:row r="74">
      <x:c r="A74" s="30"/>
      <x:c r="B74" s="30"/>
      <x:c r="C74" s="30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</x:row>
    <x:row r="75">
      <x:c r="A75" s="30"/>
      <x:c r="B75" s="30"/>
      <x:c r="C75" s="30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</x:row>
    <x:row r="76">
      <x:c r="A76" s="30"/>
      <x:c r="B76" s="30"/>
      <x:c r="C76" s="30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</x:row>
    <x:row r="77">
      <x:c r="A77" s="30"/>
      <x:c r="B77" s="30"/>
      <x:c r="C77" s="30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</x:row>
    <x:row r="78">
      <x:c r="A78" s="30"/>
      <x:c r="B78" s="30"/>
      <x:c r="C78" s="30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</x:row>
    <x:row r="79">
      <x:c r="A79" s="30"/>
      <x:c r="B79" s="30"/>
      <x:c r="C79" s="30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</x:row>
    <x:row r="80">
      <x:c r="A80" s="30"/>
      <x:c r="B80" s="30"/>
      <x:c r="C80" s="30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</x:row>
    <x:row r="81">
      <x:c r="A81" s="30"/>
      <x:c r="B81" s="30"/>
      <x:c r="C81" s="30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</x:row>
    <x:row r="82">
      <x:c r="A82" s="30"/>
      <x:c r="B82" s="30"/>
      <x:c r="C82" s="30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</x:row>
    <x:row r="83">
      <x:c r="A83" s="30"/>
      <x:c r="B83" s="30"/>
      <x:c r="C83" s="30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</x:row>
    <x:row r="84">
      <x:c r="A84" s="30"/>
      <x:c r="B84" s="30"/>
      <x:c r="C84" s="30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</x:row>
    <x:row r="85">
      <x:c r="A85" s="30"/>
      <x:c r="B85" s="30"/>
      <x:c r="C85" s="30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</x:row>
    <x:row r="86">
      <x:c r="A86" s="30"/>
      <x:c r="B86" s="30"/>
      <x:c r="C86" s="30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</x:row>
    <x:row r="87">
      <x:c r="A87" s="30"/>
      <x:c r="B87" s="30"/>
      <x:c r="C87" s="30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</x:row>
    <x:row r="88">
      <x:c r="A88" s="30"/>
      <x:c r="B88" s="30"/>
      <x:c r="C88" s="30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</x:row>
    <x:row r="89">
      <x:c r="A89" s="30"/>
      <x:c r="B89" s="30"/>
      <x:c r="C89" s="30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</x:row>
    <x:row r="90">
      <x:c r="A90" s="30"/>
      <x:c r="B90" s="30"/>
      <x:c r="C90" s="30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</x:row>
    <x:row r="91">
      <x:c r="A91" s="30"/>
      <x:c r="B91" s="30"/>
      <x:c r="C91" s="30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</x:row>
    <x:row r="92">
      <x:c r="A92" s="30"/>
      <x:c r="B92" s="30"/>
      <x:c r="C92" s="30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</x:row>
    <x:row r="93">
      <x:c r="A93" s="30"/>
      <x:c r="B93" s="30"/>
      <x:c r="C93" s="30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</x:row>
    <x:row r="94">
      <x:c r="A94" s="30"/>
      <x:c r="B94" s="30"/>
      <x:c r="C94" s="30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</x:row>
    <x:row r="95">
      <x:c r="A95" s="30"/>
      <x:c r="B95" s="30"/>
      <x:c r="C95" s="30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</x:row>
    <x:row r="96">
      <x:c r="A96" s="30"/>
      <x:c r="B96" s="30"/>
      <x:c r="C96" s="30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</x:row>
    <x:row r="97">
      <x:c r="A97" s="30"/>
      <x:c r="B97" s="30"/>
      <x:c r="C97" s="30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</x:row>
    <x:row r="98">
      <x:c r="A98" s="30"/>
      <x:c r="B98" s="30"/>
      <x:c r="C98" s="30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</x:row>
    <x:row r="99">
      <x:c r="A99" s="30"/>
      <x:c r="B99" s="30"/>
      <x:c r="C99" s="30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</x:row>
    <x:row r="100">
      <x:c r="A100" s="30"/>
      <x:c r="B100" s="30"/>
      <x:c r="C100" s="30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</x:row>
    <x:row r="101">
      <x:c r="A101" s="30"/>
      <x:c r="B101" s="30"/>
      <x:c r="C101" s="30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</x:row>
    <x:row r="102">
      <x:c r="A102" s="30"/>
      <x:c r="B102" s="30"/>
      <x:c r="C102" s="30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</x:row>
    <x:row r="103">
      <x:c r="A103" s="30"/>
      <x:c r="B103" s="30"/>
      <x:c r="C103" s="30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</x:row>
    <x:row r="104">
      <x:c r="A104" s="30"/>
      <x:c r="B104" s="30"/>
      <x:c r="C104" s="30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</x:row>
    <x:row r="105">
      <x:c r="A105" s="30"/>
      <x:c r="B105" s="30"/>
      <x:c r="C105" s="30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</x:row>
    <x:row r="106">
      <x:c r="A106" s="30"/>
      <x:c r="B106" s="30"/>
      <x:c r="C106" s="30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</x:row>
    <x:row r="107">
      <x:c r="A107" s="30"/>
      <x:c r="B107" s="30"/>
      <x:c r="C107" s="30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</x:row>
    <x:row r="108">
      <x:c r="A108" s="30"/>
      <x:c r="B108" s="30"/>
      <x:c r="C108" s="30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>
      <x:c r="A1" s="2" t="str">
        <x:v>Site-applied loss examples from curve data</x:v>
      </x:c>
    </x:row>
    <x:row r="3">
      <x:c r="A3" s="18" t="str">
        <x:v>Scenario</x:v>
      </x:c>
      <x:c r="B3" s="18" t="str">
        <x:v>Speed m/s</x:v>
      </x:c>
      <x:c r="C3" s="18" t="str">
        <x:v>Speed mph</x:v>
      </x:c>
      <x:c r="D3" s="18" t="str">
        <x:v>% physical base</x:v>
      </x:c>
      <x:c r="E3" s="18" t="str">
        <x:v>% TIV</x:v>
      </x:c>
    </x:row>
    <x:row r="4">
      <x:c r="A4" t="str">
        <x:v>Straight-line severe wind</x:v>
      </x:c>
      <x:c r="B4" t="n">
        <x:v>60</x:v>
      </x:c>
      <x:c r="C4" s="30" t="n">
        <x:f>B4*2.236936</x:f>
        <x:v>134.21616</x:v>
      </x:c>
      <x:c r="D4" s="32" t="n">
        <x:f>INDEX(Wind_Curve_Data!$H$13:$H$32, MATCH(B4, Wind_Curve_Data!$A$13:$A$32, 0))</x:f>
        <x:v>0.006945457550773796</x:v>
      </x:c>
      <x:c r="E4" s="32" t="n">
        <x:f>INDEX(Wind_Curve_Data!$I$13:$I$32, MATCH(B4, Wind_Curve_Data!$A$13:$A$32, 0))</x:f>
        <x:v>0.005727884961842414</x:v>
      </x:c>
    </x:row>
    <x:row r="5">
      <x:c r="A5" t="str">
        <x:v>Straight-line severe wind</x:v>
      </x:c>
      <x:c r="B5" t="n">
        <x:v>75</x:v>
      </x:c>
      <x:c r="C5" s="30" t="n">
        <x:f>B5*2.236936</x:f>
        <x:v>167.7702</x:v>
      </x:c>
      <x:c r="D5" s="32" t="n">
        <x:f>INDEX(Wind_Curve_Data!$H$13:$H$32, MATCH(B5, Wind_Curve_Data!$A$13:$A$32, 0))</x:f>
        <x:v>0.09047437986080217</x:v>
      </x:c>
      <x:c r="E5" s="32" t="n">
        <x:f>INDEX(Wind_Curve_Data!$I$13:$I$32, MATCH(B5, Wind_Curve_Data!$A$13:$A$32, 0))</x:f>
        <x:v>0.07461377973276521</x:v>
      </x:c>
    </x:row>
    <x:row r="6">
      <x:c r="A6" t="str">
        <x:v>Tornado direct-hit, 10% exposure</x:v>
      </x:c>
      <x:c r="B6" t="n">
        <x:v>85</x:v>
      </x:c>
      <x:c r="C6" s="30" t="n">
        <x:f>B6*2.236936</x:f>
        <x:v>190.13956000000002</x:v>
      </x:c>
      <x:c r="D6" s="32" t="n">
        <x:f>INDEX(Wind_Curve_Data!$N$13:$N$32, MATCH(B6, Wind_Curve_Data!$A$13:$A$32, 0))</x:f>
        <x:v>0.04814735975477219</x:v>
      </x:c>
      <x:c r="E6" s="32" t="n">
        <x:f>INDEX(Wind_Curve_Data!$O$13:$O$32, MATCH(B6, Wind_Curve_Data!$A$13:$A$32, 0))</x:f>
        <x:v>0.03970689272459109</x:v>
      </x:c>
    </x:row>
    <x:row r="7">
      <x:c r="A7" t="str">
        <x:v>Tornado direct-hit, 10% exposure</x:v>
      </x:c>
      <x:c r="B7" t="n">
        <x:v>100</x:v>
      </x:c>
      <x:c r="C7" s="30" t="n">
        <x:f>B7*2.236936</x:f>
        <x:v>223.6936</x:v>
      </x:c>
      <x:c r="D7" s="32" t="n">
        <x:f>INDEX(Wind_Curve_Data!$N$13:$N$32, MATCH(B7, Wind_Curve_Data!$A$13:$A$32, 0))</x:f>
        <x:v>0.06510528369725271</x:v>
      </x:c>
      <x:c r="E7" s="32" t="n">
        <x:f>INDEX(Wind_Curve_Data!$O$13:$O$32, MATCH(B7, Wind_Curve_Data!$A$13:$A$32, 0))</x:f>
        <x:v>0.05369200987837457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90" hidden="0" customWidth="1"/>
  </x:cols>
  <x:sheetData>
    <x:row r="1">
      <x:c r="A1" s="2" t="str">
        <x:v>Runtime damage-code interface</x:v>
      </x:c>
    </x:row>
    <x:row r="3">
      <x:c r="A3" s="18" t="str">
        <x:v>field_group</x:v>
      </x:c>
      <x:c r="B3" s="18" t="str">
        <x:v>field_or_value</x:v>
      </x:c>
      <x:c r="C3" s="18" t="str">
        <x:v>meaning</x:v>
      </x:c>
    </x:row>
    <x:row r="4">
      <x:c r="A4" s="11" t="str">
        <x:v>damage_code_id</x:v>
      </x:c>
      <x:c r="B4" s="11" t="str">
        <x:v>WIND_TORNADO_WIND_BLADE_STRUCT_V1</x:v>
      </x:c>
      <x:c r="C4" s="11" t="str">
        <x:v>Primary curve record for blade structural damage.</x:v>
      </x:c>
    </x:row>
    <x:row r="5">
      <x:c r="A5" s="11" t="str">
        <x:v>hazard_axis</x:v>
      </x:c>
      <x:c r="B5" s="11" t="str">
        <x:v>hub_height_3s_gust_mps or EF proxy bridge</x:v>
      </x:c>
      <x:c r="C5" s="11" t="str">
        <x:v>Straight-line path uses hub-height gust; tornado path uses EF proxy with caution.</x:v>
      </x:c>
    </x:row>
    <x:row r="6">
      <x:c r="A6" s="11" t="str">
        <x:v>selector</x:v>
      </x:c>
      <x:c r="B6" s="11" t="str">
        <x:v>iec_wind_class</x:v>
      </x:c>
      <x:c r="C6" s="11" t="str">
        <x:v>Class I/II/III/site-specific design speed.</x:v>
      </x:c>
    </x:row>
    <x:row r="7">
      <x:c r="A7" s="11" t="str">
        <x:v>selector</x:v>
      </x:c>
      <x:c r="B7" s="11" t="str">
        <x:v>hub_height_m</x:v>
      </x:c>
      <x:c r="C7" s="11" t="str">
        <x:v>Required if hazard speed is not already hub-height.</x:v>
      </x:c>
    </x:row>
    <x:row r="8">
      <x:c r="A8" s="11" t="str">
        <x:v>conditioner</x:v>
      </x:c>
      <x:c r="B8" s="11" t="str">
        <x:v>feathered_state</x:v>
      </x:c>
      <x:c r="C8" s="11" t="str">
        <x:v>Protective turbine state; stored as metadata/open seam.</x:v>
      </x:c>
    </x:row>
    <x:row r="9">
      <x:c r="A9" s="11" t="str">
        <x:v>conditioner</x:v>
      </x:c>
      <x:c r="B9" s="11" t="str">
        <x:v>yaw_alignment</x:v>
      </x:c>
      <x:c r="C9" s="11" t="str">
        <x:v>Yaw error modifies loads; stored as metadata/open seam.</x:v>
      </x:c>
    </x:row>
    <x:row r="10">
      <x:c r="A10" s="11" t="str">
        <x:v>exposure</x:v>
      </x:c>
      <x:c r="B10" s="11" t="str">
        <x:v>exposed_turbine_fraction</x:v>
      </x:c>
      <x:c r="C10" s="11" t="str">
        <x:v>Scales farm-level value affected by swath/direct hit.</x:v>
      </x:c>
    </x:row>
    <x:row r="11">
      <x:c r="A11" s="11" t="str">
        <x:v>output</x:v>
      </x:c>
      <x:c r="B11" s="11" t="str">
        <x:v>failure_unit_damage_ratio</x:v>
      </x:c>
      <x:c r="C11" s="11" t="str">
        <x:v>Applied to linked value bucket; downstream handles metrics.</x:v>
      </x:c>
    </x:row>
    <x:row r="12">
      <x:c r="A12" s="11" t="str">
        <x:v>output</x:v>
      </x:c>
      <x:c r="B12" s="11" t="str">
        <x:v>selected_variant</x:v>
      </x:c>
      <x:c r="C12" s="11" t="str">
        <x:v>Straight-line Class II, tornado direct-hit, etc.</x:v>
      </x:c>
    </x:row>
    <x:row r="13">
      <x:c r="A13" s="11" t="str">
        <x:v>qa_flag</x:v>
      </x:c>
      <x:c r="B13" s="11" t="str">
        <x:v>dependency_open_seam</x:v>
      </x:c>
      <x:c r="C13" s="11" t="str">
        <x:v>Nacelle and foundation damage may be consequential; avoid double-counting.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18" hidden="0" customWidth="1"/>
    <x:col min="4" max="4" width="60" hidden="0" customWidth="1"/>
    <x:col min="5" max="5" width="70" hidden="0" customWidth="1"/>
  </x:cols>
  <x:sheetData>
    <x:row r="1">
      <x:c r="A1" s="2" t="str">
        <x:v>Assumption register</x:v>
      </x:c>
    </x:row>
    <x:row r="3">
      <x:c r="A3" s="18" t="str">
        <x:v>assumption_id</x:v>
      </x:c>
      <x:c r="B3" s="18" t="str">
        <x:v>assumption</x:v>
      </x:c>
      <x:c r="C3" s="18" t="str">
        <x:v>materiality</x:v>
      </x:c>
      <x:c r="D3" s="18" t="str">
        <x:v>update_trigger</x:v>
      </x:c>
      <x:c r="E3" s="18" t="str">
        <x:v>effect_if_revised</x:v>
      </x:c>
    </x:row>
    <x:row r="4">
      <x:c r="A4" s="11" t="str">
        <x:v>ASM_001</x:v>
      </x:c>
      <x:c r="B4" s="11" t="str">
        <x:v>Class II as generic default</x:v>
      </x:c>
      <x:c r="C4" s="11" t="str">
        <x:v>medium</x:v>
      </x:c>
      <x:c r="D4" s="11" t="str">
        <x:v>Replace with turbine-specific IEC class or design data.</x:v>
      </x:c>
      <x:c r="E4" s="11" t="str">
        <x:v>Curve shifts horizontally on absolute speed axis.</x:v>
      </x:c>
    </x:row>
    <x:row r="5">
      <x:c r="A5" s="11" t="str">
        <x:v>ASM_002</x:v>
      </x:c>
      <x:c r="B5" s="11" t="str">
        <x:v>Design-normalized logistic curve form</x:v>
      </x:c>
      <x:c r="C5" s="11" t="str">
        <x:v>high</x:v>
      </x:c>
      <x:c r="D5" s="11" t="str">
        <x:v>Replace with turbine-specific fragility or claims data.</x:v>
      </x:c>
      <x:c r="E5" s="11" t="str">
        <x:v>Curve form and D50/k values can change.</x:v>
      </x:c>
    </x:row>
    <x:row r="6">
      <x:c r="A6" s="11" t="str">
        <x:v>ASM_003</x:v>
      </x:c>
      <x:c r="B6" s="11" t="str">
        <x:v>D50 ratios for blade/tower/nacelle/foundation</x:v>
      </x:c>
      <x:c r="C6" s="11" t="str">
        <x:v>high</x:v>
      </x:c>
      <x:c r="D6" s="11" t="str">
        <x:v>Replace with source-derived structural fragility.</x:v>
      </x:c>
      <x:c r="E6" s="11" t="str">
        <x:v>Current values are engineering-fit anchors, not empirical estimates.</x:v>
      </x:c>
    </x:row>
    <x:row r="7">
      <x:c r="A7" s="11" t="str">
        <x:v>ASM_004</x:v>
      </x:c>
      <x:c r="B7" s="11" t="str">
        <x:v>Tornado direct-hit D50 shift</x:v>
      </x:c>
      <x:c r="C7" s="11" t="str">
        <x:v>high</x:v>
      </x:c>
      <x:c r="D7" s="11" t="str">
        <x:v>Replace with tornado/turbine forensic data.</x:v>
      </x:c>
      <x:c r="E7" s="11" t="str">
        <x:v>Current shift is case-informed placeholder.</x:v>
      </x:c>
    </x:row>
    <x:row r="8">
      <x:c r="A8" s="11" t="str">
        <x:v>ASM_005</x:v>
      </x:c>
      <x:c r="B8" s="11" t="str">
        <x:v>Nacelle independent proxy</x:v>
      </x:c>
      <x:c r="C8" s="11" t="str">
        <x:v>medium/high</x:v>
      </x:c>
      <x:c r="D8" s="11" t="str">
        <x:v>Replace with dependency matrix after blade/tower failure.</x:v>
      </x:c>
      <x:c r="E8" s="11" t="str">
        <x:v>Avoids over-counting by flagging dependency.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18" hidden="0" customWidth="1"/>
    <x:col min="4" max="4" width="80" hidden="0" customWidth="1"/>
  </x:cols>
  <x:sheetData>
    <x:row r="1">
      <x:c r="A1" s="2" t="str">
        <x:v>Open seams and future upgrade triggers</x:v>
      </x:c>
    </x:row>
    <x:row r="3">
      <x:c r="A3" s="18" t="str">
        <x:v>seam_id</x:v>
      </x:c>
      <x:c r="B3" s="18" t="str">
        <x:v>description</x:v>
      </x:c>
      <x:c r="C3" s="18" t="str">
        <x:v>materiality</x:v>
      </x:c>
      <x:c r="D3" s="18" t="str">
        <x:v>resolution_path</x:v>
      </x:c>
    </x:row>
    <x:row r="4">
      <x:c r="A4" s="11" t="str">
        <x:v>SEAM_WIND_CURVE_EMPIRICAL</x:v>
      </x:c>
      <x:c r="B4" s="11" t="str">
        <x:v>No public universal turbine-level fragility curve by subsystem.</x:v>
      </x:c>
      <x:c r="C4" s="11" t="str">
        <x:v>High</x:v>
      </x:c>
      <x:c r="D4" s="11" t="str">
        <x:v>Private claims, OEM, forensic datasets, or research fragility curves.</x:v>
      </x:c>
    </x:row>
    <x:row r="5">
      <x:c r="A5" s="11" t="str">
        <x:v>SEAM_TORNADO_WIND_PROXY</x:v>
      </x:c>
      <x:c r="B5" s="11" t="str">
        <x:v>EF scale is damage-estimated and near-ground; not direct hub-height wind measurement.</x:v>
      </x:c>
      <x:c r="C5" s="11" t="str">
        <x:v>High</x:v>
      </x:c>
      <x:c r="D5" s="11" t="str">
        <x:v>Mobile radar / DOW / forensic turbine-specific wind reconstruction.</x:v>
      </x:c>
    </x:row>
    <x:row r="6">
      <x:c r="A6" s="11" t="str">
        <x:v>SEAM_DEPENDENCY</x:v>
      </x:c>
      <x:c r="B6" s="11" t="str">
        <x:v>Blade/tower/nacelle/foundation damage states are dependent.</x:v>
      </x:c>
      <x:c r="C6" s="11" t="str">
        <x:v>High</x:v>
      </x:c>
      <x:c r="D6" s="11" t="str">
        <x:v>Damage-state transition matrix / conditional assembly.</x:v>
      </x:c>
    </x:row>
    <x:row r="7">
      <x:c r="A7" s="11" t="str">
        <x:v>SEAM_CONTROL_STATE</x:v>
      </x:c>
      <x:c r="B7" s="11" t="str">
        <x:v>Feather/yaw/brake state has directionally clear impact but generic numerical multiplier is not sourced.</x:v>
      </x:c>
      <x:c r="C7" s="11" t="str">
        <x:v>Medium/high</x:v>
      </x:c>
      <x:c r="D7" s="11" t="str">
        <x:v>SCADA event logs / OEM load cases.</x:v>
      </x:c>
    </x:row>
    <x:row r="8">
      <x:c r="A8" s="11" t="str">
        <x:v>SEAM_ACCELERATION</x:v>
      </x:c>
      <x:c r="B8" s="11" t="str">
        <x:v>Acceleration-sensitive components need acceleration response, not wind speed alone.</x:v>
      </x:c>
      <x:c r="C8" s="11" t="str">
        <x:v>Medium</x:v>
      </x:c>
      <x:c r="D8" s="11" t="str">
        <x:v>Structural dynamics model / measured accelerations.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90" hidden="0" customWidth="1"/>
  </x:cols>
  <x:sheetData>
    <x:row r="1">
      <x:c r="A1" s="2" t="str">
        <x:v>QA and governance checks</x:v>
      </x:c>
    </x:row>
    <x:row r="3">
      <x:c r="A3" s="18" t="str">
        <x:v>check</x:v>
      </x:c>
      <x:c r="B3" s="18" t="str">
        <x:v>status</x:v>
      </x:c>
      <x:c r="C3" s="18" t="str">
        <x:v>notes</x:v>
      </x:c>
    </x:row>
    <x:row r="4">
      <x:c r="A4" s="11" t="str">
        <x:v>Coverage check</x:v>
      </x:c>
      <x:c r="B4" s="11" t="str">
        <x:v>PASS</x:v>
      </x:c>
      <x:c r="C4" s="11" t="str">
        <x:v>Primary, secondary, conditioner-only, exposure modifiers, and DR≈0 roles documented.</x:v>
      </x:c>
    </x:row>
    <x:row r="5">
      <x:c r="A5" s="11" t="str">
        <x:v>X-axis check</x:v>
      </x:c>
      <x:c r="B5" s="11" t="str">
        <x:v>PASS</x:v>
      </x:c>
      <x:c r="C5" s="11" t="str">
        <x:v>Hub-height 3s gust and EF proxy bridge separated; no whole-farm axis.</x:v>
      </x:c>
    </x:row>
    <x:row r="6">
      <x:c r="A6" s="11" t="str">
        <x:v>Curve-form check</x:v>
      </x:c>
      <x:c r="B6" s="11" t="str">
        <x:v>PASS</x:v>
      </x:c>
      <x:c r="C6" s="11" t="str">
        <x:v>Logistic fragility-style curves justified for structural damage; rejected alternatives documented.</x:v>
      </x:c>
    </x:row>
    <x:row r="7">
      <x:c r="A7" s="11" t="str">
        <x:v>Evidence check</x:v>
      </x:c>
      <x:c r="B7" s="11" t="str">
        <x:v>PASS_WITH_ASSUMPTIONS</x:v>
      </x:c>
      <x:c r="C7" s="11" t="str">
        <x:v>Public design/case evidence mapped to parameters; D50/k remain engineering-fit assumptions.</x:v>
      </x:c>
    </x:row>
    <x:row r="8">
      <x:c r="A8" s="11" t="str">
        <x:v>Value-link check</x:v>
      </x:c>
      <x:c r="B8" s="11" t="str">
        <x:v>PASS</x:v>
      </x:c>
      <x:c r="C8" s="11" t="str">
        <x:v>Curves map to rotor/blade, tower, nacelle, foundation value buckets.</x:v>
      </x:c>
    </x:row>
    <x:row r="9">
      <x:c r="A9" s="11" t="str">
        <x:v>Double-count check</x:v>
      </x:c>
      <x:c r="B9" s="11" t="str">
        <x:v>PASS_WITH_FLAG</x:v>
      </x:c>
      <x:c r="C9" s="11" t="str">
        <x:v>Nacelle and foundation dependencies flagged as open seam.</x:v>
      </x:c>
    </x:row>
    <x:row r="10">
      <x:c r="A10" s="11" t="str">
        <x:v>Tail/EAL check</x:v>
      </x:c>
      <x:c r="B10" s="11" t="str">
        <x:v>NOT_IN_SCOPE</x:v>
      </x:c>
      <x:c r="C10" s="11" t="str">
        <x:v>Workbook outputs severity; EAL/PML are downstream.</x:v>
      </x:c>
    </x:row>
    <x:row r="11">
      <x:c r="A11" s="11" t="str">
        <x:v>Formula scan</x:v>
      </x:c>
      <x:c r="B11" s="11" t="str">
        <x:v>TO_VERIFY</x:v>
      </x:c>
      <x:c r="C11" s="11" t="str">
        <x:v>No Excel error scan after export.</x:v>
      </x:c>
    </x:row>
  </x:sheetData>
  <x:pageMargins left="0.7" right="0.7" top="0.75" bottom="0.75" header="0.3" footer="0.3"/>
</x:worksheet>
</file>